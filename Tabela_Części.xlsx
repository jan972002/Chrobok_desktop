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an97\Desktop\Robot_Mk.2\"/>
    </mc:Choice>
  </mc:AlternateContent>
  <xr:revisionPtr revIDLastSave="0" documentId="13_ncr:1_{78226965-349A-49C7-B150-C3A076C845AB}" xr6:coauthVersionLast="47" xr6:coauthVersionMax="47" xr10:uidLastSave="{00000000-0000-0000-0000-000000000000}"/>
  <bookViews>
    <workbookView xWindow="-110" yWindow="-110" windowWidth="29020" windowHeight="17500" tabRatio="500" xr2:uid="{00000000-000D-0000-FFFF-FFFF00000000}"/>
  </bookViews>
  <sheets>
    <sheet name="Kosztor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2941576" val="1228" rev="124" revOS="4" revMin="124" revMax="0"/>
      <pm:docPrefs xmlns:pm="smNativeData" id="1762941576" fixedDigits="0" showNotice="1" showFrameBounds="1" autoChart="1" recalcOnPrint="1" recalcOnCopy="1" printCurSheet="1" compatTextArt="1" tab="567" useDefinedPrintRange="1" printArea="currentSheet"/>
      <pm:compatibility xmlns:pm="smNativeData" id="1762941576" overlapCells="1"/>
      <pm:defCurrency xmlns:pm="smNativeData" id="1762941576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jan97\Desktop\Robot_Mk.2\Tabela_Części.pdf" map="1"/>
    </ext>
  </extLst>
</workbook>
</file>

<file path=xl/calcChain.xml><?xml version="1.0" encoding="utf-8"?>
<calcChain xmlns="http://schemas.openxmlformats.org/spreadsheetml/2006/main">
  <c r="H13" i="1" l="1"/>
  <c r="H90" i="1"/>
  <c r="E90" i="1"/>
  <c r="H89" i="1"/>
  <c r="E89" i="1"/>
  <c r="H88" i="1"/>
  <c r="E88" i="1"/>
  <c r="E91" i="1" s="1"/>
  <c r="H87" i="1"/>
  <c r="E87" i="1"/>
  <c r="H86" i="1"/>
  <c r="E86" i="1"/>
  <c r="H85" i="1"/>
  <c r="H91" i="1" s="1"/>
  <c r="E85" i="1"/>
  <c r="H84" i="1"/>
  <c r="E84" i="1"/>
  <c r="H83" i="1"/>
  <c r="E83" i="1"/>
  <c r="H82" i="1"/>
  <c r="E82" i="1"/>
  <c r="H81" i="1"/>
  <c r="E81" i="1"/>
  <c r="H80" i="1"/>
  <c r="E80" i="1"/>
  <c r="H79" i="1"/>
  <c r="E79" i="1"/>
  <c r="H78" i="1"/>
  <c r="E78" i="1"/>
  <c r="H77" i="1"/>
  <c r="E77" i="1"/>
  <c r="H76" i="1"/>
  <c r="E76" i="1"/>
  <c r="H75" i="1"/>
  <c r="E75" i="1"/>
  <c r="H74" i="1"/>
  <c r="E74" i="1"/>
  <c r="H70" i="1"/>
  <c r="H69" i="1"/>
  <c r="E69" i="1"/>
  <c r="H65" i="1"/>
  <c r="E65" i="1"/>
  <c r="H64" i="1"/>
  <c r="E64" i="1"/>
  <c r="H63" i="1"/>
  <c r="E63" i="1"/>
  <c r="H62" i="1"/>
  <c r="E62" i="1"/>
  <c r="H61" i="1"/>
  <c r="E61" i="1"/>
  <c r="H60" i="1"/>
  <c r="E60" i="1"/>
  <c r="H59" i="1"/>
  <c r="E59" i="1"/>
  <c r="H58" i="1"/>
  <c r="E58" i="1"/>
  <c r="H57" i="1"/>
  <c r="E57" i="1"/>
  <c r="H56" i="1"/>
  <c r="E56" i="1"/>
  <c r="H55" i="1"/>
  <c r="E55" i="1"/>
  <c r="H54" i="1"/>
  <c r="E54" i="1"/>
  <c r="H53" i="1"/>
  <c r="E53" i="1"/>
  <c r="H52" i="1"/>
  <c r="E52" i="1"/>
  <c r="H51" i="1"/>
  <c r="E51" i="1"/>
  <c r="H50" i="1"/>
  <c r="E50" i="1"/>
  <c r="H49" i="1"/>
  <c r="E49" i="1"/>
  <c r="H48" i="1"/>
  <c r="E48" i="1"/>
  <c r="H47" i="1"/>
  <c r="E47" i="1"/>
  <c r="H46" i="1"/>
  <c r="E46" i="1"/>
  <c r="H45" i="1"/>
  <c r="E45" i="1"/>
  <c r="H44" i="1"/>
  <c r="E44" i="1"/>
  <c r="H43" i="1"/>
  <c r="E43" i="1"/>
  <c r="H42" i="1"/>
  <c r="E42" i="1"/>
  <c r="E70" i="1" s="1"/>
  <c r="H41" i="1"/>
  <c r="E41" i="1"/>
  <c r="H36" i="1"/>
  <c r="E36" i="1"/>
  <c r="H35" i="1"/>
  <c r="E35" i="1"/>
  <c r="H34" i="1"/>
  <c r="E34" i="1"/>
  <c r="H33" i="1"/>
  <c r="E33" i="1"/>
  <c r="H32" i="1"/>
  <c r="E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4" i="1"/>
  <c r="E24" i="1"/>
  <c r="H18" i="1"/>
  <c r="E18" i="1"/>
  <c r="H17" i="1"/>
  <c r="E17" i="1"/>
  <c r="H16" i="1"/>
  <c r="E16" i="1"/>
  <c r="H15" i="1"/>
  <c r="E15" i="1"/>
  <c r="H14" i="1"/>
  <c r="E14" i="1"/>
  <c r="E13" i="1"/>
  <c r="H12" i="1"/>
  <c r="E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H4" i="1"/>
  <c r="E4" i="1"/>
  <c r="H3" i="1"/>
  <c r="E3" i="1"/>
  <c r="E19" i="1" l="1"/>
  <c r="H19" i="1"/>
  <c r="O23" i="1" s="1"/>
</calcChain>
</file>

<file path=xl/sharedStrings.xml><?xml version="1.0" encoding="utf-8"?>
<sst xmlns="http://schemas.openxmlformats.org/spreadsheetml/2006/main" count="334" uniqueCount="155">
  <si>
    <t>RAMIE (20,20)</t>
  </si>
  <si>
    <t>Nazwa</t>
  </si>
  <si>
    <t xml:space="preserve">Numer części </t>
  </si>
  <si>
    <t>Numer projektowy</t>
  </si>
  <si>
    <t>Masa elementu</t>
  </si>
  <si>
    <t>Masa całkowita</t>
  </si>
  <si>
    <t>Ilość</t>
  </si>
  <si>
    <t>Cena jednostkowa</t>
  </si>
  <si>
    <t>Cena całkowita</t>
  </si>
  <si>
    <t>Link</t>
  </si>
  <si>
    <t>Potrzebny moment</t>
  </si>
  <si>
    <t>Moment faktyczny</t>
  </si>
  <si>
    <t>STATUS</t>
  </si>
  <si>
    <t>Stan 03.10.2025</t>
  </si>
  <si>
    <t>Sewo podstawy</t>
  </si>
  <si>
    <t>FI7635M</t>
  </si>
  <si>
    <t>S_P</t>
  </si>
  <si>
    <t>https://botland.com.pl/serwa-typu-standard/17692-serwo-feetech-fi7635m-standard-5904422346331.html</t>
  </si>
  <si>
    <t>Kupione</t>
  </si>
  <si>
    <t>Serwo łokcia</t>
  </si>
  <si>
    <t>LF-20MG</t>
  </si>
  <si>
    <t>S_L</t>
  </si>
  <si>
    <t>https://botland.com.pl/serwa-typu-standard/3576-serwo-powerhd-lf-20mg-standard-6939670200387.html</t>
  </si>
  <si>
    <t xml:space="preserve">Serwo nadgarstka </t>
  </si>
  <si>
    <t>HD-1810MG</t>
  </si>
  <si>
    <t>Serwo poziome</t>
  </si>
  <si>
    <t>S_PZ</t>
  </si>
  <si>
    <r>
      <rPr>
        <u/>
        <sz val="10"/>
        <color rgb="FF0000FF"/>
        <rFont val="Arial"/>
        <family val="2"/>
        <charset val="238"/>
      </rPr>
      <t xml:space="preserve">https://botland.com.pl/serwa-typu-standard/17692-serwo-feetech-fi7635m-standard-5904422346331.html </t>
    </r>
  </si>
  <si>
    <t>Orczyk serw 25T</t>
  </si>
  <si>
    <r>
      <rPr>
        <u/>
        <sz val="10"/>
        <color rgb="FF0000FF"/>
        <rFont val="Arial"/>
        <family val="2"/>
        <charset val="238"/>
      </rPr>
      <t xml:space="preserve">https://botland.com.pl/orczyki-do-serw/9198-aluminiowy-okragly-orczyk-feetech-fk-rp-001-20mm-6mm-5904422337698.html </t>
    </r>
  </si>
  <si>
    <t>-</t>
  </si>
  <si>
    <t>Rurka ramienia</t>
  </si>
  <si>
    <t>1 szt = 1m</t>
  </si>
  <si>
    <t>https://e-materials.pl/products/rura-aluminiowa-25x2-mm-pa38-en-aw-6060-t66?variant=49194184376662&amp;country=PL&amp;currency=PLN&amp;utm_medium=product_sync&amp;utm_source=google&amp;utm_content=sag_organic&amp;utm_campaign=sag_organic&amp;gad_source=1&amp;gad_campaignid=22652925018&amp;gclid=Cj0KCQjwzt_FBhCEARIsAJGFWVlC8bIE076kCxhvv6R7xN5lUBXpIOqVuAXhVAO0ULPmcSAP69FfmFQaAtc0EALw_wcB</t>
  </si>
  <si>
    <t>Chwytak</t>
  </si>
  <si>
    <t>Filament asa-x</t>
  </si>
  <si>
    <r>
      <rPr>
        <u/>
        <sz val="10"/>
        <color rgb="FF0000FF"/>
        <rFont val="Arial"/>
        <family val="2"/>
        <charset val="238"/>
      </rPr>
      <t xml:space="preserve">https://drukarki3d.seb-comp.pl/filamenty/2819-filament-spectrum-asax-gf10-175mm-black-czarny-1kg-5905991400189.html?gad_source=1&amp;gad_campaignid=22781335865&amp;gclid=CjwKCAjw89jGBhB0EiwA2o1Onzb0CWG7a3Ou2cUPI-vWDaF0_Ek1iytZKEyeWzMywQsYd9espJK5nBoC2-8QAvD_BwE </t>
    </r>
  </si>
  <si>
    <t>0,62kg</t>
  </si>
  <si>
    <t>Filament petg-cf</t>
  </si>
  <si>
    <t>1,399kg</t>
  </si>
  <si>
    <t>Łącznie 2.250kg</t>
  </si>
  <si>
    <t>prad dla 6.6V ~ 5.5A</t>
  </si>
  <si>
    <t>prad dla 7.4V ~ 8A</t>
  </si>
  <si>
    <t>Suma</t>
  </si>
  <si>
    <t>asa-x, petg-cf</t>
  </si>
  <si>
    <t>KADŁUB</t>
  </si>
  <si>
    <t>SUMA</t>
  </si>
  <si>
    <t>Sprężyny</t>
  </si>
  <si>
    <r>
      <rPr>
        <u/>
        <sz val="10"/>
        <color rgb="FF0000FF"/>
        <rFont val="Arial"/>
        <family val="2"/>
        <charset val="238"/>
      </rPr>
      <t xml:space="preserve">https://allegro.pl/oferta/sprezyna-dociskowa-naciskowa-20x1-5x50-mm-ocynk-14434811480?context=faf60569bdcc3f7dee5de4e27553ab33df6caf6f0035c1a437f5eeb7c44c8f1a27fed7e73a9d09c0ff206cc16f08cbccf5731f906d1d77d01ecb0b3290b715f17fa9403afa6cf157dae5be1d60cf576929cd5b376e028a793d9926ac79e48f9ca005c3189f2fa2ef1b9eb5ae599e8c47b81779aabac3e0bba1eaa33e553ab57b22269bdcab43d5dfb7841de1e5971f1f&amp;sellerHasChanged=false&amp;fromVariant=14434811480 </t>
    </r>
  </si>
  <si>
    <t>Silniki napedowe</t>
  </si>
  <si>
    <r>
      <rPr>
        <u/>
        <sz val="10"/>
        <color rgb="FF0000FF"/>
        <rFont val="Arial"/>
        <family val="2"/>
        <charset val="238"/>
      </rPr>
      <t xml:space="preserve">https://kamami.pl/silniki-37d-mechanika/580035-301-12v-37dx52l-silnik-z-metalowa-przekladnia-pololu-4742.html </t>
    </r>
  </si>
  <si>
    <t>hub silnika</t>
  </si>
  <si>
    <r>
      <rPr>
        <u/>
        <sz val="10"/>
        <color rgb="FF0000FF"/>
        <rFont val="Arial"/>
        <family val="2"/>
        <charset val="238"/>
      </rPr>
      <t>https://botland.com.pl/przejsciowki-do-silnikow/1838-aluminiowy-hub-mocujacy-6mm-m3-2szt-pololu-1999-5904422362652.html</t>
    </r>
    <r>
      <rPr>
        <sz val="10"/>
        <rFont val="Arial"/>
        <family val="2"/>
        <charset val="238"/>
      </rPr>
      <t xml:space="preserve"> </t>
    </r>
  </si>
  <si>
    <t>Śruby gąsienic</t>
  </si>
  <si>
    <r>
      <rPr>
        <u/>
        <sz val="10"/>
        <color rgb="FF0000FF"/>
        <rFont val="Arial"/>
        <family val="2"/>
        <charset val="238"/>
      </rPr>
      <t>https://www.e-nierdzewne.pl/pl/p/M3x50-DIN-912-A2-sruba-imbusowa-nierdzewna/248</t>
    </r>
    <r>
      <rPr>
        <sz val="10"/>
        <rFont val="Arial"/>
        <family val="2"/>
        <charset val="238"/>
      </rPr>
      <t xml:space="preserve"> </t>
    </r>
  </si>
  <si>
    <t>Naketki do śrub gąsienic</t>
  </si>
  <si>
    <r>
      <rPr>
        <u/>
        <sz val="10"/>
        <color rgb="FF0000FF"/>
        <rFont val="Arial"/>
        <family val="2"/>
        <charset val="238"/>
      </rPr>
      <t>https://www.e-nierdzewne.pl/pl/p/M3-DIN-934-A2-nakretka-szesciokatna-nierdzewna/80</t>
    </r>
    <r>
      <rPr>
        <sz val="10"/>
        <rFont val="Arial"/>
        <family val="2"/>
        <charset val="238"/>
      </rPr>
      <t xml:space="preserve"> </t>
    </r>
  </si>
  <si>
    <t>ELEKTRONIKA</t>
  </si>
  <si>
    <t>Płyta Główna</t>
  </si>
  <si>
    <t>Kamera USB</t>
  </si>
  <si>
    <r>
      <rPr>
        <u/>
        <sz val="10"/>
        <color rgb="FF0000FF"/>
        <rFont val="Arial"/>
        <family val="2"/>
        <charset val="238"/>
      </rPr>
      <t xml:space="preserve">https://botland.com.pl/kamery-do-raspberry-pi/25881-recamera-2002w-8gb-kamera-ov5647-5mpx-ai-vision-wifibluetooth-seeedstudio-102991896-5904422387112.html </t>
    </r>
  </si>
  <si>
    <t>Extender esp</t>
  </si>
  <si>
    <r>
      <rPr>
        <u/>
        <sz val="10"/>
        <color rgb="FF0000FF"/>
        <rFont val="Arial"/>
        <family val="2"/>
        <charset val="238"/>
      </rPr>
      <t>https://allegro.pl/oferta/adapter-esp32-s3-44pin-terminal-shield-ark-zaciski-srubowe-16155149258?offerId=16155149258&amp;inventoryUnitId=GksMfGJkPv-hTKdU-e-bRA&amp;adGroupId=ODMwYjgzNTQtNTEwNy00MDQxLTk4MTItYTc4NzU5ZGZlYWY4AA&amp;campaignId=MGQwMmRkYWMtZmVlOC00Zjk5LTgxYmItYzFjYThkZTE0ODgyAA&amp;clientId=MTE5MTIxNzg4AA&amp;sig=3a61360beae1651fc484609d0004a551&amp;utm_feed=aa34192d-eee2-4419-9a9a-de66b9dfae24&amp;utm_content=supercena&amp;utm_source=google&amp;utm_medium=ads&amp;gad_source=1&amp;gad_campaignid=21772776904&amp;gclid=CjwKCAjw89jGBhB0EiwA2o1On82IXl0W_LqHESomlps9l4n1a6SjGcQzoT5EpauypsEf7stqC-7tDxoCSXYQAvD_BwE</t>
    </r>
    <r>
      <rPr>
        <sz val="10"/>
        <rFont val="Arial"/>
        <family val="2"/>
        <charset val="238"/>
      </rPr>
      <t xml:space="preserve"> </t>
    </r>
  </si>
  <si>
    <t>ESP</t>
  </si>
  <si>
    <r>
      <rPr>
        <u/>
        <sz val="10"/>
        <color rgb="FF0000FF"/>
        <rFont val="Arial"/>
        <family val="2"/>
        <charset val="238"/>
      </rPr>
      <t xml:space="preserve">https://botland.com.pl/moduly-wifi-i-bt-esp32/23341-esp32-s3-dev-kit-n8r8-plytka-rozwojowa-wifi-bluetooth-waveshare-24243.html </t>
    </r>
  </si>
  <si>
    <t>Przetwornice wysokiego prądu</t>
  </si>
  <si>
    <r>
      <rPr>
        <u/>
        <sz val="10"/>
        <color rgb="FF0000FF"/>
        <rFont val="Arial"/>
        <family val="2"/>
        <charset val="238"/>
      </rPr>
      <t xml:space="preserve">https://kamami.pl/step-down/574848-przetwornica-xl4016sd-step-down-280w-12v-35v-9a-5906623473564.html </t>
    </r>
  </si>
  <si>
    <t>wymiary 65mm x 47mm x 26mm</t>
  </si>
  <si>
    <t>Akumulatory</t>
  </si>
  <si>
    <r>
      <rPr>
        <u/>
        <sz val="10"/>
        <color rgb="FF0000FF"/>
        <rFont val="Arial"/>
        <family val="2"/>
        <charset val="238"/>
      </rPr>
      <t xml:space="preserve">https://rc-team.pl/akumulatory-li-po/172621-gens-ace-g-tech-5000mah-148v-4s1p-60c-lipo-battery-pack-with-ec5-plug-bashing-series-6928493309391-065534.html </t>
    </r>
  </si>
  <si>
    <t>Przjesciowka ladowania</t>
  </si>
  <si>
    <r>
      <rPr>
        <u/>
        <sz val="10"/>
        <color rgb="FF0000FF"/>
        <rFont val="Arial"/>
        <family val="2"/>
        <charset val="238"/>
      </rPr>
      <t xml:space="preserve">https://rc-team.pl/konektory/162540-revtec-adapter-ec5-meski-xt60-zenski-5413911222303-gf-1305-025.html </t>
    </r>
  </si>
  <si>
    <t>Ładowarka</t>
  </si>
  <si>
    <r>
      <rPr>
        <u/>
        <sz val="10"/>
        <color rgb="FF0000FF"/>
        <rFont val="Arial"/>
        <family val="2"/>
        <charset val="238"/>
      </rPr>
      <t xml:space="preserve">https://rc-team.pl/ladowarki/139232-ladowarka-dwukanalowa-t100-2x50w-5a-lipo-lihv-nimh-6930460006011-021554.html </t>
    </r>
  </si>
  <si>
    <t>Przetwornica dla esp</t>
  </si>
  <si>
    <t>Przetwornica dla Jettson</t>
  </si>
  <si>
    <r>
      <rPr>
        <u/>
        <sz val="10"/>
        <color rgb="FF0000FF"/>
        <rFont val="Arial"/>
        <family val="2"/>
        <charset val="238"/>
      </rPr>
      <t>https://botland.com.pl/przetwornice-step-down/8103-przetwornica-step-down-xl4015-13v-36v-5a-5904422336202.html</t>
    </r>
    <r>
      <rPr>
        <sz val="10"/>
        <rFont val="Arial"/>
        <family val="2"/>
        <charset val="238"/>
      </rPr>
      <t xml:space="preserve"> </t>
    </r>
  </si>
  <si>
    <t>Sterownik silników</t>
  </si>
  <si>
    <t>Antena wifi</t>
  </si>
  <si>
    <r>
      <rPr>
        <u/>
        <sz val="10"/>
        <color rgb="FF0000FF"/>
        <rFont val="Arial"/>
        <family val="2"/>
        <charset val="238"/>
      </rPr>
      <t>https://www.x-kom.pl/p/554803-karta-sieciowa-tp-link-archer-t3u-plus-1300mb-s-a-b-g-n-ac-dualband.html</t>
    </r>
    <r>
      <rPr>
        <sz val="10"/>
        <rFont val="Arial"/>
        <family val="2"/>
        <charset val="238"/>
      </rPr>
      <t xml:space="preserve"> </t>
    </r>
  </si>
  <si>
    <t>Złączki</t>
  </si>
  <si>
    <r>
      <rPr>
        <u/>
        <sz val="10"/>
        <color rgb="FF0000FF"/>
        <rFont val="Arial"/>
        <family val="2"/>
        <charset val="238"/>
      </rPr>
      <t xml:space="preserve">https://botland.com.pl/kostki-elektryczne/23835-zestaw-kostek-elektrycznych-2345pin-32a250v-pomaranczowe-46szt-justpi-5904422384241.html </t>
    </r>
  </si>
  <si>
    <t>Przewody serw</t>
  </si>
  <si>
    <r>
      <rPr>
        <u/>
        <sz val="10"/>
        <color rgb="FF0000FF"/>
        <rFont val="Arial"/>
        <family val="2"/>
        <charset val="238"/>
      </rPr>
      <t xml:space="preserve">https://botland.com.pl/przewody-do-serw/1717-przedluzacz-do-serw-45cm-skrecony-5904422349738.html </t>
    </r>
  </si>
  <si>
    <t>Przewody zasilajace</t>
  </si>
  <si>
    <t>16AWG, 8 metrów</t>
  </si>
  <si>
    <t xml:space="preserve">1 szt to 1 m </t>
  </si>
  <si>
    <r>
      <rPr>
        <u/>
        <sz val="10"/>
        <color rgb="FF0000FF"/>
        <rFont val="Arial"/>
        <family val="2"/>
        <charset val="238"/>
      </rPr>
      <t>https://abc-rc.pl/pl/products/przewod-silikonowy-miedziany-ocynowany-16awg-252-zyly-1-3mm2-czerwony-elastyczny-4646.html</t>
    </r>
    <r>
      <rPr>
        <sz val="10"/>
        <rFont val="Arial"/>
        <family val="2"/>
        <charset val="238"/>
      </rPr>
      <t xml:space="preserve"> </t>
    </r>
  </si>
  <si>
    <t>Przewody banan</t>
  </si>
  <si>
    <r>
      <rPr>
        <u/>
        <sz val="10"/>
        <color rgb="FF0000FF"/>
        <rFont val="Arial"/>
        <family val="2"/>
        <charset val="238"/>
      </rPr>
      <t xml:space="preserve">https://rc-team.pl/przewody-do-ladowarek/84294-przewod-do-ladowania-banan-gold-4mm-ec5-5060386110194-ep56799.html </t>
    </r>
  </si>
  <si>
    <t>Przedluzka usb</t>
  </si>
  <si>
    <r>
      <rPr>
        <u/>
        <sz val="10"/>
        <color rgb="FF0000FF"/>
        <rFont val="Arial"/>
        <family val="2"/>
        <charset val="238"/>
      </rPr>
      <t>https://www.x-kom.pl/p/1256881-kabel-usb-ugreen-us129-przedluzacz-usb-30-05m.html?pageThemeMode=dark&amp;utm_source=google&amp;utm_medium=cpc&amp;utm_campaign=PMAX%20-%20ALL%2C%20ALL%2C%20ALL%20(PL%2C%20periodic%2C%20test)%20-%20P01M106&amp;utm_id=21028100854&amp;gad_source=1&amp;gad_campaignid=21024839945&amp;gclid=CjwKCAjw89jGBhB0EiwA2o1On4-qSsHMSMAVyQ1iel53xIpgflRygl26tGxmZd7XnPQ9HQAX54_ksBoCcDsQAvD_BwE</t>
    </r>
    <r>
      <rPr>
        <sz val="10"/>
        <rFont val="Arial"/>
        <family val="2"/>
        <charset val="238"/>
      </rPr>
      <t xml:space="preserve"> </t>
    </r>
  </si>
  <si>
    <t>Chlodzenie elektroniki</t>
  </si>
  <si>
    <r>
      <rPr>
        <u/>
        <sz val="10"/>
        <color rgb="FF0000FF"/>
        <rFont val="Arial"/>
        <family val="2"/>
        <charset val="238"/>
      </rPr>
      <t xml:space="preserve">https://botland.com.pl/wentylatory-montazowe/18677-wentylator-5v-30x30x7mm-ze-zlaczem-jst-254mm-5904422308667.html </t>
    </r>
  </si>
  <si>
    <t>Owijki</t>
  </si>
  <si>
    <r>
      <rPr>
        <u/>
        <sz val="10"/>
        <color rgb="FF0000FF"/>
        <rFont val="Arial"/>
        <family val="2"/>
        <charset val="238"/>
      </rPr>
      <t>https://botland.com.pl/rurki-termokurczliwe/5374-zestaw-rurek-termokurczliwych-100szt-czarne-5901969414608.html</t>
    </r>
    <r>
      <rPr>
        <sz val="10"/>
        <rFont val="Arial"/>
        <family val="2"/>
        <charset val="238"/>
      </rPr>
      <t xml:space="preserve"> </t>
    </r>
  </si>
  <si>
    <t>Śruby</t>
  </si>
  <si>
    <r>
      <rPr>
        <u/>
        <sz val="10"/>
        <color rgb="FF0000FF"/>
        <rFont val="Arial"/>
        <family val="2"/>
        <charset val="238"/>
      </rPr>
      <t>https://botland.com.pl/srubki-i-nakretki/23456-zestaw-srub-i-nakretek-m3m4m5m6-1000szt-5904257801784.html</t>
    </r>
    <r>
      <rPr>
        <sz val="10"/>
        <rFont val="Arial"/>
        <family val="2"/>
        <charset val="238"/>
      </rPr>
      <t xml:space="preserve"> </t>
    </r>
  </si>
  <si>
    <t>Kill switch</t>
  </si>
  <si>
    <r>
      <rPr>
        <u/>
        <sz val="10"/>
        <color rgb="FF0000FF"/>
        <rFont val="Arial"/>
        <family val="2"/>
        <charset val="238"/>
      </rPr>
      <t>https://elektroweb.pl/pl/przelaczniki/1541-przelacznik-kolyskowy-wodoodporny-podswietlany-kcd4-czerwony-12-24v-30a.html?srsltid=AfmBOoqK-FkuVo7kzuDx2YLX4mGjCEot431-J2TPd4sps378CRv1rYs7</t>
    </r>
    <r>
      <rPr>
        <sz val="10"/>
        <rFont val="Arial"/>
        <family val="2"/>
        <charset val="238"/>
      </rPr>
      <t xml:space="preserve"> </t>
    </r>
  </si>
  <si>
    <t>tuleje</t>
  </si>
  <si>
    <r>
      <rPr>
        <u/>
        <sz val="10"/>
        <color rgb="FF0000FF"/>
        <rFont val="Arial"/>
        <family val="2"/>
        <charset val="238"/>
      </rPr>
      <t xml:space="preserve">https://botland.com.pl/zakonczenia-przewodow/23030-zestaw-tulejek-kablowych-izolowanych-800szt-5904257892317.html </t>
    </r>
  </si>
  <si>
    <t>Kondensatory</t>
  </si>
  <si>
    <r>
      <rPr>
        <u/>
        <sz val="10"/>
        <color rgb="FF0000FF"/>
        <rFont val="Arial"/>
        <family val="2"/>
        <charset val="238"/>
      </rPr>
      <t>https://botland.com.pl/kondensatory-low-esr/902-kondensator-elektrolityczny-low-esr-470uf25v-8x12mm-105c-tht-10szt-5904422329778.html</t>
    </r>
    <r>
      <rPr>
        <sz val="10"/>
        <rFont val="Arial"/>
        <family val="2"/>
        <charset val="238"/>
      </rPr>
      <t xml:space="preserve"> </t>
    </r>
  </si>
  <si>
    <t>czujnik odleglosci</t>
  </si>
  <si>
    <r>
      <rPr>
        <u/>
        <sz val="10"/>
        <color rgb="FF0000FF"/>
        <rFont val="Arial"/>
        <family val="2"/>
        <charset val="238"/>
      </rPr>
      <t xml:space="preserve">https://botland.com.pl/czujniki-time-of-flight/26306-laserowy-czujnik-odleglosci-lidar-14m-i2cuartio-benewake-tf-nova.html </t>
    </r>
  </si>
  <si>
    <t>szczypce</t>
  </si>
  <si>
    <r>
      <rPr>
        <u/>
        <sz val="10"/>
        <color rgb="FF0000FF"/>
        <rFont val="Arial"/>
        <family val="2"/>
        <charset val="238"/>
      </rPr>
      <t xml:space="preserve">https://botland.com.pl/szczypce/3662-zestaw-szczypiec-vorel-42309-6szt-5906083423093.html </t>
    </r>
  </si>
  <si>
    <t>DODATKOWE</t>
  </si>
  <si>
    <t>Listwa drewniana</t>
  </si>
  <si>
    <t>cena za 1m</t>
  </si>
  <si>
    <t>ilość = ilosć metrów</t>
  </si>
  <si>
    <r>
      <rPr>
        <u/>
        <sz val="10"/>
        <color rgb="FF0000FF"/>
        <rFont val="Arial"/>
        <family val="2"/>
        <charset val="238"/>
      </rPr>
      <t>https://www.leroymerlin.pl/produkty/listwa-modelarska-6-x-10-x-1000-mm-42853090.html</t>
    </r>
    <r>
      <rPr>
        <sz val="10"/>
        <rFont val="Arial"/>
        <family val="2"/>
        <charset val="238"/>
      </rPr>
      <t xml:space="preserve"> </t>
    </r>
  </si>
  <si>
    <t>Folia NRC</t>
  </si>
  <si>
    <r>
      <rPr>
        <u/>
        <sz val="10"/>
        <color rgb="FF0000FF"/>
        <rFont val="Arial"/>
        <family val="2"/>
        <charset val="238"/>
      </rPr>
      <t>https://sendpol24.pl/produkt/koc-ratunkowy-termiczny-folia-termiczna-nrc/?gad_source=1&amp;gad_campaignid=21691528285&amp;gclid=Cj0KCQjw6bfHBhDNARIsAIGsqLhGuCQ60WuBGMNcXAu8IJ11oQFW0WmBHOxTqKWVSgD2H1r4Gjjr2CAaAmRTEALw_wcB</t>
    </r>
    <r>
      <rPr>
        <sz val="10"/>
        <rFont val="Arial"/>
        <family val="2"/>
        <charset val="238"/>
      </rPr>
      <t xml:space="preserve"> </t>
    </r>
  </si>
  <si>
    <t>Czytnik kart</t>
  </si>
  <si>
    <r>
      <rPr>
        <u/>
        <sz val="10"/>
        <color rgb="FF0000FF"/>
        <rFont val="Arial"/>
        <family val="2"/>
        <charset val="238"/>
      </rPr>
      <t>https://www.mediaexpert.pl/komputery-i-tablety/akcesoria-komputerowe/czytniki-kart-pamieci/czytnik-kart-pamieci-ugreen-cm104-sd-tf-usb-3-0-czarny?gad_source=1&amp;gad_campaignid=20948667791&amp;gclid=Cj0KCQjw6bfHBhDNARIsAIGsqLgRH-lRCZU5-1EoLfUCMG_l2GysfQsusgVlSvUnvr3oRgIMH5gyUkQaAvOTEALw_wcB</t>
    </r>
    <r>
      <rPr>
        <sz val="10"/>
        <rFont val="Arial"/>
        <family val="2"/>
        <charset val="238"/>
      </rPr>
      <t xml:space="preserve"> </t>
    </r>
  </si>
  <si>
    <t>Guma w sprayu</t>
  </si>
  <si>
    <r>
      <rPr>
        <u/>
        <sz val="10"/>
        <color rgb="FF0000FF"/>
        <rFont val="Arial"/>
        <family val="2"/>
        <charset val="238"/>
      </rPr>
      <t>https://www.leroymerlin.pl/produkty/guma-w-sprayu-czarny-400-ml-tytan-84832617.html?utm_source=google&amp;utm_medium=cpc&amp;utm_channel=performance&amp;channel_details=pmax&amp;utm_campaign=pmax_rotator_dobre_bigshopper_perfo_sem&amp;utm_marketing_tactic=paid_perfo&amp;gclsrc=aw.ds&amp;gad_source=1&amp;gad_campaignid=21857552608&amp;gclid=Cj0KCQjw6bfHBhDNARIsAIGsqLjygRNU5dLxbL5jTBnEbHcUVAEhSJ2K2Pgj77eDIflQ_e19YjECsccaAoxnEALw_wcB</t>
    </r>
    <r>
      <rPr>
        <sz val="10"/>
        <rFont val="Arial"/>
        <family val="2"/>
        <charset val="238"/>
      </rPr>
      <t xml:space="preserve"> </t>
    </r>
  </si>
  <si>
    <t>Papier scierny</t>
  </si>
  <si>
    <r>
      <rPr>
        <u/>
        <sz val="10"/>
        <color rgb="FF0000FF"/>
        <rFont val="Arial"/>
        <family val="2"/>
        <charset val="238"/>
      </rPr>
      <t>https://www.leroymerlin.pl/produkty/papier-scierny-wodny-p400-230-x-280-mm-dexter-45868081.html?utm_source=google&amp;utm_medium=cpc&amp;utm_channel=performance&amp;channel_details=pmax&amp;utm_campaign=pmax_narzedzia_i_warsztat_bigshopper_perfo_sem&amp;utm_marketing_tactic=paid_perfo&amp;gclsrc=aw.ds&amp;gad_source=1&amp;gad_campaignid=21853623254&amp;gclid=Cj0KCQjw6bfHBhDNARIsAIGsqLgRcT-Vmqj1QZk6JPnjwSi8Vs3fXmrW0XK-wMzIqiteC5MTYX1A1QsaAlgJEALw_wcB</t>
    </r>
    <r>
      <rPr>
        <sz val="10"/>
        <rFont val="Arial"/>
        <family val="2"/>
        <charset val="238"/>
      </rPr>
      <t xml:space="preserve"> </t>
    </r>
  </si>
  <si>
    <t>Maska PP</t>
  </si>
  <si>
    <r>
      <rPr>
        <u/>
        <sz val="10"/>
        <color rgb="FF0000FF"/>
        <rFont val="Arial"/>
        <family val="2"/>
        <charset val="238"/>
      </rPr>
      <t>https://www.leroymerlin.pl/produkty/maska-ochronna-z-filtrem-p351-ffp3-portwest-45896074.html?utm_source=google&amp;utm_medium=cpc&amp;utm_channel=performance&amp;channel_details=pmax&amp;utm_campaign=pmax_narzedzia_i_warsztat_bigshopper_perfo_sem&amp;utm_marketing_tactic=paid_perfo&amp;gclsrc=aw.ds&amp;gad_source=1&amp;gad_campaignid=21853623254&amp;gclid=Cj0KCQjw6bfHBhDNARIsAIGsqLg85sWnKbtAyzaX-7VL8LdxJcIlBmhZ0b4K68nM7HTb6yzyEiMjlNEaAqLlEALw_wcB</t>
    </r>
    <r>
      <rPr>
        <sz val="10"/>
        <rFont val="Arial"/>
        <family val="2"/>
        <charset val="238"/>
      </rPr>
      <t xml:space="preserve"> </t>
    </r>
  </si>
  <si>
    <t>Rekawiczki nitrylowe</t>
  </si>
  <si>
    <t>https://www.leroymerlin.pl/produkty/rekawice-ochronne-nitrylowe-100-szt-r-l-nolan-45830694.html?utm_source=google&amp;utm_medium=cpc&amp;utm_channel=performance&amp;channel_details=pmax&amp;utm_campaign=pmax_narzedzia_i_warsztat_bigshopper_perfo_sem&amp;utm_marketing_tactic=paid_perfo&amp;gclsrc=aw.ds&amp;gad_source=1&amp;gad_campaignid=21853623254&amp;gclid=Cj0KCQjw6bfHBhDNARIsAIGsqLgUCMOi2K-bN98XCXW-DvaxETzKAN52BtzZU88d6AJPuxO2st29ltkaAqEhEALw_wcB</t>
  </si>
  <si>
    <t>Okulary ochronne</t>
  </si>
  <si>
    <r>
      <rPr>
        <u/>
        <sz val="10"/>
        <color rgb="FF0000FF"/>
        <rFont val="Arial"/>
        <family val="2"/>
        <charset val="238"/>
      </rPr>
      <t>https://www.leroymerlin.pl/produkty/okulary-ochronne-pc-88035238.html</t>
    </r>
    <r>
      <rPr>
        <sz val="10"/>
        <rFont val="Arial"/>
        <family val="2"/>
        <charset val="238"/>
      </rPr>
      <t xml:space="preserve"> </t>
    </r>
  </si>
  <si>
    <t>Kombinezon ochronny</t>
  </si>
  <si>
    <r>
      <rPr>
        <u/>
        <sz val="10"/>
        <color rgb="FF0000FF"/>
        <rFont val="Arial"/>
        <family val="2"/>
        <charset val="238"/>
      </rPr>
      <t>https://www.leroymerlin.pl/produkty/kombinezon-ochronny-r-l-malarski-bialy-30-g-m2-82399024.html?utm_source=google&amp;utm_medium=cpc&amp;utm_channel=performance&amp;channel_details=pmax&amp;utm_campaign=pmax_narzedzia_i_warsztat_bigshopper_perfo_sem&amp;utm_marketing_tactic=paid_perfo&amp;gclsrc=aw.ds&amp;gad_source=1&amp;gad_campaignid=21853623254&amp;gclid=Cj0KCQjw6bfHBhDNARIsAIGsqLhI6cbwn3kLnk7qP6aUMlu9zEe5JbCS3KhVSuJH6AXn9ivsp9aYiAMaApkKEALw_wcB</t>
    </r>
    <r>
      <rPr>
        <sz val="10"/>
        <rFont val="Arial"/>
        <family val="2"/>
        <charset val="238"/>
      </rPr>
      <t xml:space="preserve"> </t>
    </r>
  </si>
  <si>
    <t>Taśma izolacyjna</t>
  </si>
  <si>
    <r>
      <rPr>
        <u/>
        <sz val="10"/>
        <color rgb="FF0000FF"/>
        <rFont val="Arial"/>
        <family val="2"/>
        <charset val="238"/>
      </rPr>
      <t>https://www.leroymerlin.pl/produkty/tasma-izolacyjna-19-mm-x-20-m-czarna-f619222-lexman-44143806.html?utm_source=google&amp;utm_medium=cpc&amp;utm_channel=performance&amp;channel_details=pmax&amp;utm_campaign=pmax_rotator_dobre_bigshopper_perfo_sem&amp;utm_marketing_tactic=paid_perfo&amp;gclsrc=aw.ds&amp;gad_source=1&amp;gad_campaignid=21857552608&amp;gclid=Cj0KCQjw6bfHBhDNARIsAIGsqLif7LJvO4qryw2FjS8mvritAd_maj_di6-WI9N41eowk1vweQCh6tkaAk5yEALw_wcB#_hydraulika-narzedzia-hydrauliczne-uszczelnienia-do-wody-i-gazu</t>
    </r>
    <r>
      <rPr>
        <sz val="10"/>
        <rFont val="Arial"/>
        <family val="2"/>
        <charset val="238"/>
      </rPr>
      <t xml:space="preserve"> </t>
    </r>
  </si>
  <si>
    <t>Silvertape</t>
  </si>
  <si>
    <r>
      <rPr>
        <u/>
        <sz val="10"/>
        <color rgb="FF0000FF"/>
        <rFont val="Arial"/>
        <family val="2"/>
        <charset val="238"/>
      </rPr>
      <t>https://www.leroymerlin.pl/produkty/tasma-naprawcza-duct-tape-48-mm-x-10-m-srebrna-bardzo-mocna-globall-43850191.html?utm_source=google&amp;utm_medium=cpc&amp;utm_channel=performance&amp;channel_details=pmax&amp;utm_campaign=pmax_rotator_dobre_bigshopper_perfo_sem&amp;utm_marketing_tactic=paid_perfo&amp;gclsrc=aw.ds&amp;gad_source=1&amp;gad_campaignid=21857552608&amp;gclid=Cj0KCQjw6bfHBhDNARIsAIGsqLifCMbbtcwvjdGWu5QYY-zfYUOOuiTHic3FBp0RQmpg_b1QuehrdOEaAodsEALw_wcB#_hydraulika-narzedzia-hydrauliczne-uszczelnienia-do-wody-i-gazu-tasmy-naprawcze-do-rur-wodnych</t>
    </r>
    <r>
      <rPr>
        <sz val="10"/>
        <rFont val="Arial"/>
        <family val="2"/>
        <charset val="238"/>
      </rPr>
      <t xml:space="preserve"> </t>
    </r>
  </si>
  <si>
    <t>Smar</t>
  </si>
  <si>
    <r>
      <rPr>
        <u/>
        <sz val="10"/>
        <color rgb="FF0000FF"/>
        <rFont val="Arial"/>
        <family val="2"/>
        <charset val="238"/>
      </rPr>
      <t>https://www.leroymerlin.pl/produkty/smar-silikonowy-40g-tecmaxx-14-026-45937710.html</t>
    </r>
    <r>
      <rPr>
        <sz val="10"/>
        <rFont val="Arial"/>
        <family val="2"/>
        <charset val="238"/>
      </rPr>
      <t xml:space="preserve"> </t>
    </r>
  </si>
  <si>
    <t>Klej do druku</t>
  </si>
  <si>
    <r>
      <rPr>
        <u/>
        <sz val="10"/>
        <color rgb="FF0000FF"/>
        <rFont val="Arial"/>
        <family val="2"/>
        <charset val="238"/>
      </rPr>
      <t>https://allegro.pl/oferta/dimafix-spray-adhezyjny-klej-do-druku-3d-400-ml-14771126819?utm_feed=aa34192d-eee2-4419-9a9a-de66b9dfae24&amp;utm_source=google&amp;utm_medium=cpc&amp;utm_campaign=_elktrk_komputery_sprzet_pla_ss&amp;ev_adgr=cc-sprzet-ss&amp;ev_campaign_id=22975392187&amp;gad_source=1&amp;gad_campaignid=22975392187&amp;gclid=Cj0KCQiA5abIBhCaARIsAM3-zFU-g-45SXXJXlIdbPdP5CI3FHmI4noAx8nvDYWqK2fWYXbIqjFkfxYaAvJxEALw_wcB</t>
    </r>
    <r>
      <rPr>
        <sz val="10"/>
        <rFont val="Arial"/>
        <family val="2"/>
        <charset val="238"/>
      </rPr>
      <t xml:space="preserve"> </t>
    </r>
  </si>
  <si>
    <t>Hot end</t>
  </si>
  <si>
    <t>grzałka</t>
  </si>
  <si>
    <r>
      <rPr>
        <u/>
        <sz val="10"/>
        <color rgb="FF0000FF"/>
        <rFont val="Arial"/>
        <family val="2"/>
        <charset val="238"/>
      </rPr>
      <t>https://noto3d.pl/pl/products/creality-grzalka-24v-40w-130cm-ender-3-v2-neo-614.html?utm_source=ceneo&amp;utm_medium=referral&amp;ceneo_cid=5f96357b-e65d-4649-b8e5-38fd94f7c59f</t>
    </r>
    <r>
      <rPr>
        <sz val="10"/>
        <rFont val="Arial"/>
        <family val="2"/>
        <charset val="238"/>
      </rPr>
      <t xml:space="preserve"> </t>
    </r>
  </si>
  <si>
    <t xml:space="preserve">https://www.v-slot.pl/metalowy-hotend-zestaw-do-drukarek-3d-creality-cr-10s-pro.html </t>
  </si>
  <si>
    <t xml:space="preserve">https://botland.com.pl/serwa-typu-micro/2304-serwo-powerhd-hd-1810mg-micro-6939570720114.html </t>
  </si>
  <si>
    <t xml:space="preserve">https://kamami.pl/zestawy-deweloperskie-jetson/1184505-nvidia-jetson-orin-nano-8gb-development-kit-zestaw-deweloperski-z-arm-cortex-a78ae-8gb-ram-5906623468744.html </t>
  </si>
  <si>
    <t xml:space="preserve">https://botland.com.pl/sterowniki-silnikow-dc/7421-dfrobot-dwukanalowy-sterownik-silnikow-dc-27v7a-5904422372071.html </t>
  </si>
  <si>
    <t xml:space="preserve">https://botland.com.pl/przetwornice-step-down/8103-przetwornica-step-down-xl4015-13v-36v-5a-5904422336202.html </t>
  </si>
  <si>
    <t>Servo podstawy +P</t>
  </si>
  <si>
    <t>Dysk do jettsona</t>
  </si>
  <si>
    <t>https://allegro.pl/oferta/dysk-samsung-ssd-m-2-256gb-1-4a-2230-nvme-pm991a-m2-mz-9lq256c-mz9lq256hbjd-15412269484?utm_source=google&amp;utm_medium=product-carousel&amp;utm_campaign=product-listing&amp;utm_content=%2Fkategoria%2Fdyski-i-pamieci-przenosne-dyski-ssd-257335%3Fstring%3Ddysk%2520ssd%2520m2%2520256</t>
  </si>
  <si>
    <t xml:space="preserve">https://allegro.pl/oferta/filament-petg-cf-filhub-carbon-fiber-wlokno-weglowe-1-75mm-czarny-1kg-16350938291 </t>
  </si>
  <si>
    <t>https://modelarnia.pl/pl/products/serwo-standard-gts-7-66kg-cm-7-4v-powerhd-1013036.html</t>
  </si>
  <si>
    <t>120*</t>
  </si>
  <si>
    <t xml:space="preserve">https://botland.com.pl/ramiona-robotow/12845-micro-gripper-kit-chwytak-z-serwem-typu-micro-pololu-3551-5904422320119.html </t>
  </si>
  <si>
    <t>serwo zamienne do chwytaka</t>
  </si>
  <si>
    <t xml:space="preserve">https://botland.com.pl/serwa-typu-micro/23570-wp90-servo-pwm-serwomechanizm-cyfrowy-waveshare-24704.html </t>
  </si>
  <si>
    <t>Do kupienia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</si>
</sst>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zł-415]"/>
    <numFmt numFmtId="165" formatCode="General\ &quot;kg&quot;"/>
    <numFmt numFmtId="166" formatCode="General\ &quot;szt&quot;"/>
    <numFmt numFmtId="167" formatCode="General\ &quot;kg*cm&quot;"/>
  </numFmts>
  <fonts count="9" x14ac:knownFonts="1"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u/>
      <sz val="10"/>
      <color rgb="FF0000FF"/>
      <name val="Arial"/>
      <family val="2"/>
      <charset val="238"/>
    </font>
    <font>
      <b/>
      <u/>
      <sz val="10"/>
      <color rgb="FF0000FF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0000FF"/>
      <name val="Arial"/>
      <family val="2"/>
      <charset val="238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9E9E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" fillId="4" borderId="8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164" fontId="0" fillId="6" borderId="12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0" fontId="4" fillId="0" borderId="0" xfId="1" applyFont="1" applyAlignment="1">
      <alignment horizontal="center"/>
    </xf>
    <xf numFmtId="0" fontId="0" fillId="0" borderId="1" xfId="0" applyBorder="1"/>
    <xf numFmtId="0" fontId="6" fillId="0" borderId="0" xfId="1" applyFont="1" applyAlignment="1">
      <alignment horizontal="center"/>
    </xf>
    <xf numFmtId="0" fontId="5" fillId="0" borderId="3" xfId="1" applyFont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164" fontId="0" fillId="6" borderId="12" xfId="0" applyNumberFormat="1" applyFill="1" applyBorder="1"/>
    <xf numFmtId="0" fontId="7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2" fillId="0" borderId="0" xfId="1"/>
    <xf numFmtId="0" fontId="1" fillId="3" borderId="7" xfId="0" applyFont="1" applyFill="1" applyBorder="1" applyAlignment="1">
      <alignment horizontal="center"/>
    </xf>
    <xf numFmtId="165" fontId="1" fillId="3" borderId="7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3" fillId="3" borderId="7" xfId="1" applyFont="1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7" xfId="0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2" fillId="0" borderId="3" xfId="1" applyBorder="1"/>
  </cellXfs>
  <cellStyles count="2">
    <cellStyle name="Hiperłącze" xfId="1" builtinId="8" customBuiltin="1"/>
    <cellStyle name="Normalny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2941576" count="1">
        <pm:charStyle name="Normalny" fontId="0" Id="1"/>
      </pm:charStyles>
      <pm:colors xmlns:pm="smNativeData" id="1762941576" count="9">
        <pm:color name="Kolor 24" rgb="D1D100"/>
        <pm:color name="Kolor 25" rgb="9EFF9E"/>
        <pm:color name="Kolor 26" rgb="3DFF3D"/>
        <pm:color name="Kolor 27" rgb="5CFF5C"/>
        <pm:color name="Kolor 28" rgb="FF9E9E"/>
        <pm:color name="Kolor 29" rgb="FF5C5C"/>
        <pm:color name="Kolor 30" rgb="FFFF3D"/>
        <pm:color name="Kolor 31" rgb="FFFF9E"/>
        <pm:color name="Kolor 32" rgb="FFFF5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amami.pl/zestawy-deweloperskie-jetson/1184505-nvidia-jetson-orin-nano-8gb-development-kit-zestaw-deweloperski-z-arm-cortex-a78ae-8gb-ram-5906623468744.html" TargetMode="External"/><Relationship Id="rId13" Type="http://schemas.openxmlformats.org/officeDocument/2006/relationships/hyperlink" Target="https://botland.com.pl/ramiona-robotow/12845-micro-gripper-kit-chwytak-z-serwem-typu-micro-pololu-3551-5904422320119.html" TargetMode="External"/><Relationship Id="rId3" Type="http://schemas.openxmlformats.org/officeDocument/2006/relationships/hyperlink" Target="https://botland.com.pl/serwa-typu-standard/3576-serwo-powerhd-lf-20mg-standard-6939670200387.html" TargetMode="External"/><Relationship Id="rId7" Type="http://schemas.openxmlformats.org/officeDocument/2006/relationships/hyperlink" Target="https://botland.com.pl/serwa-typu-micro/2304-serwo-powerhd-hd-1810mg-micro-6939570720114.html" TargetMode="External"/><Relationship Id="rId12" Type="http://schemas.openxmlformats.org/officeDocument/2006/relationships/hyperlink" Target="https://modelarnia.pl/pl/products/serwo-standard-gts-7-66kg-cm-7-4v-powerhd-1013036.html" TargetMode="External"/><Relationship Id="rId2" Type="http://schemas.openxmlformats.org/officeDocument/2006/relationships/hyperlink" Target="https://botland.com.pl/serwa-typu-standard/17692-serwo-feetech-fi7635m-standard-5904422346331.html" TargetMode="External"/><Relationship Id="rId1" Type="http://schemas.openxmlformats.org/officeDocument/2006/relationships/hyperlink" Target="https://botland.com.pl/silniki-dc-standard-z-przekladnia/17541-silnik-37dx54l-z-przekladnia-50-1-24v-200rpm-pololu-4683-5904422327811.html" TargetMode="External"/><Relationship Id="rId6" Type="http://schemas.openxmlformats.org/officeDocument/2006/relationships/hyperlink" Target="https://www.v-slot.pl/metalowy-hotend-zestaw-do-drukarek-3d-creality-cr-10s-pro.html" TargetMode="External"/><Relationship Id="rId11" Type="http://schemas.openxmlformats.org/officeDocument/2006/relationships/hyperlink" Target="https://allegro.pl/oferta/filament-petg-cf-filhub-carbon-fiber-wlokno-weglowe-1-75mm-czarny-1kg-16350938291" TargetMode="External"/><Relationship Id="rId5" Type="http://schemas.openxmlformats.org/officeDocument/2006/relationships/hyperlink" Target="https://www.leroymerlin.pl/produkty/rekawice-ochronne-nitrylowe-100-szt-r-l-nolan-45830694.html?utm_source=google&amp;utm_medium=cpc&amp;utm_channel=performance&amp;channel_details=pmax&amp;utm_campaign=pmax_narzedzia_i_warsztat_bigshopper_perfo_sem&amp;utm_marketing_tactic=paid_perfo&amp;gclsrc=aw.ds&amp;gad_source=1&amp;gad_campaignid=21853623254&amp;gclid=Cj0KCQjw6bfHBhDNARIsAIGsqLgUCMOi2K-bN98XCXW-DvaxETzKAN52BtzZU88d6AJPuxO2st29ltkaAqEhEALw_wcB" TargetMode="External"/><Relationship Id="rId10" Type="http://schemas.openxmlformats.org/officeDocument/2006/relationships/hyperlink" Target="https://botland.com.pl/przetwornice-step-down/8103-przetwornica-step-down-xl4015-13v-36v-5a-5904422336202.html" TargetMode="External"/><Relationship Id="rId4" Type="http://schemas.openxmlformats.org/officeDocument/2006/relationships/hyperlink" Target="https://e-materials.pl/products/rura-aluminiowa-25x2-mm-pa38-en-aw-6060-t66?variant=49194184376662&amp;country=PL&amp;currency=PLN&amp;utm_medium=product_sync&amp;utm_source=google&amp;utm_content=sag_organic&amp;utm_campaign=sag_organic&amp;gad_source=1&amp;gad_campaignid=22652925018&amp;gclid=Cj0KCQjwzt_FBhCEARIsAJGFWVlC8bIE076kCxhvv6R7xN5lUBXpIOqVuAXhVAO0ULPmcSAP69FfmFQaAtc0EALw_wcB" TargetMode="External"/><Relationship Id="rId9" Type="http://schemas.openxmlformats.org/officeDocument/2006/relationships/hyperlink" Target="https://botland.com.pl/sterowniki-silnikow-dc/7421-dfrobot-dwukanalowy-sterownik-silnikow-dc-27v7a-5904422372071.html" TargetMode="External"/><Relationship Id="rId14" Type="http://schemas.openxmlformats.org/officeDocument/2006/relationships/hyperlink" Target="https://botland.com.pl/serwa-typu-micro/23570-wp90-servo-pwm-serwomechanizm-cyfrowy-waveshare-2470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zoomScale="90" workbookViewId="0">
      <selection activeCell="I18" sqref="I18"/>
    </sheetView>
  </sheetViews>
  <sheetFormatPr defaultColWidth="10" defaultRowHeight="12.5" x14ac:dyDescent="0.25"/>
  <cols>
    <col min="1" max="1" width="23" style="1" customWidth="1"/>
    <col min="2" max="2" width="18.36328125" style="1" customWidth="1"/>
    <col min="3" max="3" width="18.453125" style="1" customWidth="1"/>
    <col min="4" max="4" width="15.81640625" style="1" customWidth="1"/>
    <col min="5" max="5" width="16.1796875" style="1" customWidth="1"/>
    <col min="6" max="6" width="9.90625" style="1" customWidth="1"/>
    <col min="7" max="7" width="17.81640625" style="1" customWidth="1"/>
    <col min="8" max="8" width="16.36328125" style="1" customWidth="1"/>
    <col min="9" max="9" width="12.1796875" style="1" customWidth="1"/>
    <col min="10" max="10" width="19.26953125" style="2" customWidth="1"/>
    <col min="11" max="12" width="19.08984375" style="2" customWidth="1"/>
    <col min="14" max="14" width="10" style="2"/>
  </cols>
  <sheetData>
    <row r="1" spans="1:14" ht="13" x14ac:dyDescent="0.3">
      <c r="A1" s="40" t="s">
        <v>0</v>
      </c>
      <c r="B1" s="40"/>
      <c r="C1" s="40"/>
      <c r="D1" s="41"/>
      <c r="E1" s="41"/>
      <c r="F1" s="42"/>
      <c r="G1" s="43"/>
      <c r="H1" s="43"/>
      <c r="I1" s="44"/>
      <c r="J1" s="45"/>
      <c r="K1" s="46"/>
      <c r="L1" s="46"/>
    </row>
    <row r="2" spans="1:14" ht="13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14" t="s">
        <v>10</v>
      </c>
      <c r="K2" s="14" t="s">
        <v>11</v>
      </c>
      <c r="L2" s="14" t="s">
        <v>12</v>
      </c>
      <c r="M2" t="s">
        <v>13</v>
      </c>
    </row>
    <row r="3" spans="1:14" x14ac:dyDescent="0.25">
      <c r="A3" s="3" t="s">
        <v>14</v>
      </c>
      <c r="B3" s="5" t="s">
        <v>15</v>
      </c>
      <c r="C3" s="3" t="s">
        <v>16</v>
      </c>
      <c r="D3" s="8">
        <v>9.3999999999999986E-2</v>
      </c>
      <c r="E3" s="8">
        <f t="shared" ref="E3:E18" si="0">$F3*$D3</f>
        <v>9.3999999999999986E-2</v>
      </c>
      <c r="F3" s="11">
        <v>1</v>
      </c>
      <c r="G3" s="9">
        <v>139</v>
      </c>
      <c r="H3" s="9">
        <f t="shared" ref="H3:H18" si="1">$F3*$G3</f>
        <v>139</v>
      </c>
      <c r="I3" s="34" t="s">
        <v>17</v>
      </c>
      <c r="J3" s="16">
        <v>25</v>
      </c>
      <c r="K3" s="17">
        <v>35</v>
      </c>
      <c r="L3" s="17" t="s">
        <v>18</v>
      </c>
    </row>
    <row r="4" spans="1:14" x14ac:dyDescent="0.25">
      <c r="A4" s="3" t="s">
        <v>19</v>
      </c>
      <c r="B4" s="5" t="s">
        <v>20</v>
      </c>
      <c r="C4" s="3" t="s">
        <v>21</v>
      </c>
      <c r="D4" s="8">
        <v>7.0000000000000007E-2</v>
      </c>
      <c r="E4" s="8">
        <f t="shared" si="0"/>
        <v>7.0000000000000007E-2</v>
      </c>
      <c r="F4" s="11">
        <v>1</v>
      </c>
      <c r="G4" s="9">
        <v>89.9</v>
      </c>
      <c r="H4" s="10">
        <f t="shared" si="1"/>
        <v>89.9</v>
      </c>
      <c r="I4" s="31" t="s">
        <v>22</v>
      </c>
      <c r="J4" s="16">
        <v>12</v>
      </c>
      <c r="K4" s="17">
        <v>20</v>
      </c>
      <c r="L4" s="17" t="s">
        <v>18</v>
      </c>
    </row>
    <row r="5" spans="1:14" x14ac:dyDescent="0.25">
      <c r="A5" s="3" t="s">
        <v>23</v>
      </c>
      <c r="B5" s="5" t="s">
        <v>24</v>
      </c>
      <c r="C5" s="3"/>
      <c r="D5" s="8">
        <v>2.5000000000000001E-2</v>
      </c>
      <c r="E5" s="8">
        <f t="shared" si="0"/>
        <v>2.5000000000000001E-2</v>
      </c>
      <c r="F5" s="11">
        <v>1</v>
      </c>
      <c r="G5" s="9">
        <v>93</v>
      </c>
      <c r="H5" s="10">
        <f t="shared" si="1"/>
        <v>93</v>
      </c>
      <c r="I5" s="39" t="s">
        <v>141</v>
      </c>
      <c r="J5" s="16">
        <v>0.9</v>
      </c>
      <c r="K5" s="17">
        <v>3.9</v>
      </c>
      <c r="L5" s="17" t="s">
        <v>18</v>
      </c>
    </row>
    <row r="6" spans="1:14" x14ac:dyDescent="0.25">
      <c r="A6" s="3" t="s">
        <v>25</v>
      </c>
      <c r="B6" s="5" t="s">
        <v>15</v>
      </c>
      <c r="C6" s="3" t="s">
        <v>26</v>
      </c>
      <c r="D6" s="8">
        <v>9.3999999999999986E-2</v>
      </c>
      <c r="E6" s="8">
        <f t="shared" si="0"/>
        <v>9.3999999999999986E-2</v>
      </c>
      <c r="F6" s="11">
        <v>1</v>
      </c>
      <c r="G6" s="9">
        <v>139</v>
      </c>
      <c r="H6" s="10">
        <f t="shared" si="1"/>
        <v>139</v>
      </c>
      <c r="I6" s="2" t="s">
        <v>27</v>
      </c>
      <c r="J6" s="16">
        <v>9</v>
      </c>
      <c r="K6" s="17">
        <v>35.5</v>
      </c>
      <c r="L6" s="17" t="s">
        <v>18</v>
      </c>
    </row>
    <row r="7" spans="1:14" x14ac:dyDescent="0.25">
      <c r="A7" s="3" t="s">
        <v>28</v>
      </c>
      <c r="B7" s="5"/>
      <c r="C7" s="3"/>
      <c r="D7" s="8">
        <v>8.9999999999999993E-3</v>
      </c>
      <c r="E7" s="8">
        <f t="shared" si="0"/>
        <v>2.6999999999999996E-2</v>
      </c>
      <c r="F7" s="11">
        <v>3</v>
      </c>
      <c r="G7" s="9">
        <v>10.9</v>
      </c>
      <c r="H7" s="9">
        <f t="shared" si="1"/>
        <v>32.700000000000003</v>
      </c>
      <c r="I7" s="32" t="s">
        <v>29</v>
      </c>
      <c r="J7" s="22" t="s">
        <v>30</v>
      </c>
      <c r="K7" s="17" t="s">
        <v>30</v>
      </c>
      <c r="L7" s="17" t="s">
        <v>18</v>
      </c>
    </row>
    <row r="8" spans="1:14" x14ac:dyDescent="0.25">
      <c r="A8" s="3" t="s">
        <v>31</v>
      </c>
      <c r="B8" s="5" t="s">
        <v>32</v>
      </c>
      <c r="C8" s="3"/>
      <c r="D8" s="8"/>
      <c r="E8" s="8">
        <f t="shared" si="0"/>
        <v>0</v>
      </c>
      <c r="F8" s="11">
        <v>2</v>
      </c>
      <c r="G8" s="9">
        <v>15.48</v>
      </c>
      <c r="H8" s="10">
        <f t="shared" si="1"/>
        <v>30.96</v>
      </c>
      <c r="I8" s="33" t="s">
        <v>33</v>
      </c>
      <c r="J8" s="16" t="s">
        <v>30</v>
      </c>
      <c r="K8" s="17" t="s">
        <v>30</v>
      </c>
      <c r="L8" s="17" t="s">
        <v>18</v>
      </c>
    </row>
    <row r="9" spans="1:14" x14ac:dyDescent="0.25">
      <c r="A9" s="3" t="s">
        <v>34</v>
      </c>
      <c r="B9" s="5"/>
      <c r="C9" s="3"/>
      <c r="D9" s="8">
        <v>7.0000000000000007E-2</v>
      </c>
      <c r="E9" s="8">
        <f t="shared" si="0"/>
        <v>7.0000000000000007E-2</v>
      </c>
      <c r="F9" s="11">
        <v>1</v>
      </c>
      <c r="G9" s="9">
        <v>115</v>
      </c>
      <c r="H9" s="9">
        <f t="shared" si="1"/>
        <v>115</v>
      </c>
      <c r="I9" s="52" t="s">
        <v>151</v>
      </c>
      <c r="J9" s="16" t="s">
        <v>30</v>
      </c>
      <c r="K9" s="17" t="s">
        <v>30</v>
      </c>
      <c r="L9" s="17" t="s">
        <v>18</v>
      </c>
    </row>
    <row r="10" spans="1:14" x14ac:dyDescent="0.25">
      <c r="A10" s="3" t="s">
        <v>35</v>
      </c>
      <c r="B10" s="5"/>
      <c r="C10" s="3"/>
      <c r="D10" s="8"/>
      <c r="E10" s="8">
        <f t="shared" si="0"/>
        <v>0</v>
      </c>
      <c r="F10" s="11">
        <v>1</v>
      </c>
      <c r="G10" s="9">
        <v>239.9</v>
      </c>
      <c r="H10" s="10">
        <f t="shared" si="1"/>
        <v>239.9</v>
      </c>
      <c r="I10" s="2" t="s">
        <v>36</v>
      </c>
      <c r="J10" s="16" t="s">
        <v>30</v>
      </c>
      <c r="K10" s="17" t="s">
        <v>30</v>
      </c>
      <c r="L10" s="17" t="s">
        <v>18</v>
      </c>
      <c r="M10" t="s">
        <v>37</v>
      </c>
    </row>
    <row r="11" spans="1:14" x14ac:dyDescent="0.25">
      <c r="A11" s="3" t="s">
        <v>38</v>
      </c>
      <c r="B11" s="5"/>
      <c r="C11" s="3"/>
      <c r="D11" s="8"/>
      <c r="E11" s="8">
        <f t="shared" si="0"/>
        <v>0</v>
      </c>
      <c r="F11" s="11">
        <v>4</v>
      </c>
      <c r="G11" s="9">
        <v>104.4</v>
      </c>
      <c r="H11" s="10">
        <f t="shared" si="1"/>
        <v>417.6</v>
      </c>
      <c r="I11" s="38" t="s">
        <v>148</v>
      </c>
      <c r="J11" s="16" t="s">
        <v>30</v>
      </c>
      <c r="K11" s="17" t="s">
        <v>30</v>
      </c>
      <c r="L11" s="17" t="s">
        <v>18</v>
      </c>
      <c r="M11" t="s">
        <v>39</v>
      </c>
      <c r="N11" s="2" t="s">
        <v>40</v>
      </c>
    </row>
    <row r="12" spans="1:14" x14ac:dyDescent="0.25">
      <c r="A12" s="3"/>
      <c r="B12" s="5"/>
      <c r="C12" s="3"/>
      <c r="D12" s="8"/>
      <c r="E12" s="8">
        <f t="shared" si="0"/>
        <v>0</v>
      </c>
      <c r="F12" s="11"/>
      <c r="G12" s="9"/>
      <c r="H12" s="10">
        <f t="shared" si="1"/>
        <v>0</v>
      </c>
      <c r="I12" s="2"/>
      <c r="J12" s="16"/>
      <c r="K12" s="17"/>
      <c r="L12" s="17"/>
    </row>
    <row r="13" spans="1:14" x14ac:dyDescent="0.25">
      <c r="A13" s="3" t="s">
        <v>145</v>
      </c>
      <c r="B13" s="5" t="s">
        <v>150</v>
      </c>
      <c r="C13" s="3"/>
      <c r="D13" s="8"/>
      <c r="E13" s="8">
        <f t="shared" si="0"/>
        <v>0</v>
      </c>
      <c r="F13" s="11">
        <v>1</v>
      </c>
      <c r="G13" s="9">
        <v>729</v>
      </c>
      <c r="H13" s="10">
        <f t="shared" si="1"/>
        <v>729</v>
      </c>
      <c r="I13" s="38" t="s">
        <v>149</v>
      </c>
      <c r="J13" s="16" t="s">
        <v>30</v>
      </c>
      <c r="K13" s="17" t="s">
        <v>30</v>
      </c>
      <c r="L13" s="17" t="s">
        <v>18</v>
      </c>
      <c r="M13" t="s">
        <v>41</v>
      </c>
    </row>
    <row r="14" spans="1:14" x14ac:dyDescent="0.25">
      <c r="A14" s="3" t="s">
        <v>146</v>
      </c>
      <c r="B14" s="5"/>
      <c r="C14" s="3"/>
      <c r="D14" s="8"/>
      <c r="E14" s="8">
        <f t="shared" si="0"/>
        <v>0</v>
      </c>
      <c r="F14" s="11">
        <v>1</v>
      </c>
      <c r="G14" s="9">
        <v>247</v>
      </c>
      <c r="H14" s="10">
        <f t="shared" si="1"/>
        <v>247</v>
      </c>
      <c r="I14" s="38" t="s">
        <v>147</v>
      </c>
      <c r="J14" s="16" t="s">
        <v>30</v>
      </c>
      <c r="K14" s="17" t="s">
        <v>30</v>
      </c>
      <c r="L14" s="17" t="s">
        <v>18</v>
      </c>
      <c r="M14" t="s">
        <v>42</v>
      </c>
    </row>
    <row r="15" spans="1:14" x14ac:dyDescent="0.25">
      <c r="A15" s="3" t="s">
        <v>152</v>
      </c>
      <c r="B15" s="5"/>
      <c r="C15" s="3"/>
      <c r="D15" s="8"/>
      <c r="E15" s="8">
        <f t="shared" si="0"/>
        <v>0</v>
      </c>
      <c r="F15" s="11">
        <v>5</v>
      </c>
      <c r="G15" s="9">
        <v>37.9</v>
      </c>
      <c r="H15" s="10">
        <f t="shared" si="1"/>
        <v>189.5</v>
      </c>
      <c r="I15" s="38" t="s">
        <v>153</v>
      </c>
      <c r="J15" s="16"/>
      <c r="K15" s="17"/>
      <c r="L15" s="17" t="s">
        <v>154</v>
      </c>
    </row>
    <row r="16" spans="1:14" x14ac:dyDescent="0.25">
      <c r="A16" s="3"/>
      <c r="B16" s="5"/>
      <c r="C16" s="3"/>
      <c r="D16" s="8"/>
      <c r="E16" s="8">
        <f t="shared" si="0"/>
        <v>0</v>
      </c>
      <c r="F16" s="11"/>
      <c r="G16" s="9"/>
      <c r="H16" s="10">
        <f t="shared" si="1"/>
        <v>0</v>
      </c>
      <c r="I16" s="2"/>
      <c r="J16" s="16"/>
      <c r="K16" s="17"/>
      <c r="L16" s="17"/>
    </row>
    <row r="17" spans="1:15" x14ac:dyDescent="0.25">
      <c r="A17" s="3"/>
      <c r="B17" s="5"/>
      <c r="C17" s="3"/>
      <c r="D17" s="8"/>
      <c r="E17" s="8">
        <f t="shared" si="0"/>
        <v>0</v>
      </c>
      <c r="F17" s="11"/>
      <c r="G17" s="9"/>
      <c r="H17" s="10">
        <f t="shared" si="1"/>
        <v>0</v>
      </c>
      <c r="I17" s="2"/>
      <c r="J17" s="16"/>
      <c r="K17" s="17"/>
      <c r="L17" s="17"/>
    </row>
    <row r="18" spans="1:15" x14ac:dyDescent="0.25">
      <c r="A18" s="3"/>
      <c r="B18" s="5"/>
      <c r="C18" s="3"/>
      <c r="D18" s="8"/>
      <c r="E18" s="8">
        <f t="shared" si="0"/>
        <v>0</v>
      </c>
      <c r="F18" s="11"/>
      <c r="G18" s="9"/>
      <c r="H18" s="10">
        <f t="shared" si="1"/>
        <v>0</v>
      </c>
      <c r="I18" s="2"/>
      <c r="J18" s="16"/>
      <c r="K18" s="17"/>
      <c r="L18" s="17"/>
    </row>
    <row r="19" spans="1:15" x14ac:dyDescent="0.25">
      <c r="A19" s="23"/>
      <c r="B19" s="23"/>
      <c r="C19" s="23"/>
      <c r="D19" s="26" t="s">
        <v>43</v>
      </c>
      <c r="E19" s="30">
        <f>SUM(E3:E18)</f>
        <v>0.37999999999999995</v>
      </c>
      <c r="F19" s="24"/>
      <c r="G19" s="29" t="s">
        <v>43</v>
      </c>
      <c r="H19" s="27">
        <f>SUM(H3:H18)</f>
        <v>2462.56</v>
      </c>
      <c r="I19" s="23"/>
      <c r="J19" s="25"/>
      <c r="K19" s="25"/>
      <c r="L19" s="25"/>
    </row>
    <row r="20" spans="1:15" x14ac:dyDescent="0.25">
      <c r="A20" s="2"/>
      <c r="B20" s="2"/>
      <c r="C20" s="2"/>
      <c r="D20" s="20"/>
      <c r="E20" s="20"/>
      <c r="F20" s="11"/>
      <c r="G20" s="21"/>
      <c r="H20" s="21"/>
      <c r="I20" s="2"/>
      <c r="J20" s="22"/>
      <c r="K20" s="22"/>
      <c r="L20" s="22"/>
      <c r="N20" s="2" t="s">
        <v>44</v>
      </c>
    </row>
    <row r="21" spans="1:15" x14ac:dyDescent="0.25">
      <c r="A21" s="2"/>
      <c r="B21" s="2"/>
      <c r="C21" s="2"/>
      <c r="D21" s="20"/>
      <c r="E21" s="20"/>
      <c r="F21" s="11"/>
      <c r="G21" s="21"/>
      <c r="H21" s="21"/>
      <c r="I21" s="2"/>
      <c r="J21" s="22"/>
      <c r="K21" s="22"/>
      <c r="L21" s="22"/>
    </row>
    <row r="22" spans="1:15" ht="13" x14ac:dyDescent="0.3">
      <c r="A22" s="40" t="s">
        <v>45</v>
      </c>
      <c r="B22" s="47"/>
      <c r="C22" s="47"/>
      <c r="D22" s="48"/>
      <c r="E22" s="48"/>
      <c r="F22" s="49"/>
      <c r="G22" s="50"/>
      <c r="H22" s="50"/>
      <c r="I22" s="47"/>
      <c r="J22" s="51"/>
      <c r="K22" s="51"/>
      <c r="L22" s="51"/>
    </row>
    <row r="23" spans="1:15" ht="13" x14ac:dyDescent="0.3">
      <c r="A23" s="7" t="s">
        <v>1</v>
      </c>
      <c r="B23" s="7" t="s">
        <v>2</v>
      </c>
      <c r="C23" s="7" t="s">
        <v>3</v>
      </c>
      <c r="D23" s="7" t="s">
        <v>4</v>
      </c>
      <c r="E23" s="7" t="s">
        <v>5</v>
      </c>
      <c r="F23" s="7" t="s">
        <v>6</v>
      </c>
      <c r="G23" s="7" t="s">
        <v>7</v>
      </c>
      <c r="H23" s="7" t="s">
        <v>8</v>
      </c>
      <c r="I23" s="7" t="s">
        <v>9</v>
      </c>
      <c r="J23" s="14" t="s">
        <v>10</v>
      </c>
      <c r="K23" s="14" t="s">
        <v>11</v>
      </c>
      <c r="L23" s="14" t="s">
        <v>12</v>
      </c>
      <c r="N23" s="35" t="s">
        <v>46</v>
      </c>
      <c r="O23" s="36">
        <f>SUM(H19+H36+H70+H91)</f>
        <v>8007.5900000000011</v>
      </c>
    </row>
    <row r="24" spans="1:15" x14ac:dyDescent="0.25">
      <c r="A24" s="3" t="s">
        <v>47</v>
      </c>
      <c r="B24" s="5"/>
      <c r="C24" s="3"/>
      <c r="D24" s="8"/>
      <c r="E24" s="8">
        <f t="shared" ref="E24:E35" si="2">$F24*$D24</f>
        <v>0</v>
      </c>
      <c r="F24" s="11">
        <v>12</v>
      </c>
      <c r="G24" s="9">
        <v>5.5</v>
      </c>
      <c r="H24" s="10">
        <f t="shared" ref="H24:H35" si="3">$F24*$G24</f>
        <v>66</v>
      </c>
      <c r="I24" s="2" t="s">
        <v>48</v>
      </c>
      <c r="J24" s="16" t="s">
        <v>30</v>
      </c>
      <c r="K24" s="17" t="s">
        <v>30</v>
      </c>
      <c r="L24" s="17" t="s">
        <v>18</v>
      </c>
    </row>
    <row r="25" spans="1:15" x14ac:dyDescent="0.25">
      <c r="A25" s="3"/>
      <c r="B25" s="5"/>
      <c r="C25" s="3"/>
      <c r="D25" s="8"/>
      <c r="E25" s="8">
        <f t="shared" si="2"/>
        <v>0</v>
      </c>
      <c r="F25" s="11"/>
      <c r="G25" s="9"/>
      <c r="H25" s="10">
        <f t="shared" si="3"/>
        <v>0</v>
      </c>
      <c r="I25" s="2"/>
      <c r="J25" s="16"/>
      <c r="K25" s="17"/>
      <c r="L25" s="17"/>
    </row>
    <row r="26" spans="1:15" x14ac:dyDescent="0.25">
      <c r="A26" s="3"/>
      <c r="B26" s="5"/>
      <c r="C26" s="3"/>
      <c r="D26" s="8"/>
      <c r="E26" s="8">
        <f t="shared" si="2"/>
        <v>0</v>
      </c>
      <c r="F26" s="11"/>
      <c r="G26" s="9"/>
      <c r="H26" s="10">
        <f t="shared" si="3"/>
        <v>0</v>
      </c>
      <c r="I26" s="2"/>
      <c r="J26" s="16"/>
      <c r="K26" s="17"/>
      <c r="L26" s="17"/>
    </row>
    <row r="27" spans="1:15" x14ac:dyDescent="0.25">
      <c r="A27" s="3"/>
      <c r="B27" s="5"/>
      <c r="C27" s="3"/>
      <c r="D27" s="8"/>
      <c r="E27" s="8">
        <f t="shared" si="2"/>
        <v>0</v>
      </c>
      <c r="F27" s="11"/>
      <c r="G27" s="9"/>
      <c r="H27" s="10">
        <f t="shared" si="3"/>
        <v>0</v>
      </c>
      <c r="I27" s="2"/>
      <c r="J27" s="16"/>
      <c r="K27" s="17"/>
      <c r="L27" s="17"/>
    </row>
    <row r="28" spans="1:15" x14ac:dyDescent="0.25">
      <c r="A28" s="3" t="s">
        <v>49</v>
      </c>
      <c r="B28" s="5"/>
      <c r="C28" s="3"/>
      <c r="D28" s="8"/>
      <c r="E28" s="8">
        <f t="shared" si="2"/>
        <v>0</v>
      </c>
      <c r="F28" s="11">
        <v>2</v>
      </c>
      <c r="G28" s="9">
        <v>250.35</v>
      </c>
      <c r="H28" s="10">
        <f t="shared" si="3"/>
        <v>500.7</v>
      </c>
      <c r="I28" s="2" t="s">
        <v>50</v>
      </c>
      <c r="J28" s="16" t="s">
        <v>30</v>
      </c>
      <c r="K28" s="17" t="s">
        <v>30</v>
      </c>
      <c r="L28" s="17" t="s">
        <v>18</v>
      </c>
    </row>
    <row r="29" spans="1:15" x14ac:dyDescent="0.25">
      <c r="A29" s="3" t="s">
        <v>51</v>
      </c>
      <c r="B29" s="5"/>
      <c r="C29" s="3"/>
      <c r="D29" s="8"/>
      <c r="E29" s="8">
        <f t="shared" si="2"/>
        <v>0</v>
      </c>
      <c r="F29" s="11">
        <v>1</v>
      </c>
      <c r="G29" s="9">
        <v>51.9</v>
      </c>
      <c r="H29" s="10">
        <f t="shared" si="3"/>
        <v>51.9</v>
      </c>
      <c r="I29" s="2" t="s">
        <v>52</v>
      </c>
      <c r="J29" s="16" t="s">
        <v>30</v>
      </c>
      <c r="K29" s="17" t="s">
        <v>30</v>
      </c>
      <c r="L29" s="17" t="s">
        <v>18</v>
      </c>
    </row>
    <row r="30" spans="1:15" x14ac:dyDescent="0.25">
      <c r="A30" s="3" t="s">
        <v>53</v>
      </c>
      <c r="B30" s="5"/>
      <c r="C30" s="3"/>
      <c r="D30" s="8"/>
      <c r="E30" s="8">
        <f t="shared" si="2"/>
        <v>0</v>
      </c>
      <c r="F30" s="11">
        <v>100</v>
      </c>
      <c r="G30" s="9">
        <v>0.2</v>
      </c>
      <c r="H30" s="10">
        <f t="shared" si="3"/>
        <v>20</v>
      </c>
      <c r="I30" s="2" t="s">
        <v>54</v>
      </c>
      <c r="J30" s="16" t="s">
        <v>30</v>
      </c>
      <c r="K30" s="17"/>
      <c r="L30" s="17" t="s">
        <v>18</v>
      </c>
    </row>
    <row r="31" spans="1:15" x14ac:dyDescent="0.25">
      <c r="A31" s="3" t="s">
        <v>55</v>
      </c>
      <c r="B31" s="5"/>
      <c r="C31" s="3"/>
      <c r="D31" s="8"/>
      <c r="E31" s="8">
        <f t="shared" si="2"/>
        <v>0</v>
      </c>
      <c r="F31" s="11">
        <v>100</v>
      </c>
      <c r="G31" s="9">
        <v>0.04</v>
      </c>
      <c r="H31" s="10">
        <f t="shared" si="3"/>
        <v>4</v>
      </c>
      <c r="I31" s="2" t="s">
        <v>56</v>
      </c>
      <c r="J31" s="16" t="s">
        <v>30</v>
      </c>
      <c r="K31" s="17"/>
      <c r="L31" s="17" t="s">
        <v>18</v>
      </c>
    </row>
    <row r="32" spans="1:15" x14ac:dyDescent="0.25">
      <c r="A32" s="3"/>
      <c r="B32" s="5"/>
      <c r="C32" s="3"/>
      <c r="D32" s="8"/>
      <c r="E32" s="8">
        <f t="shared" si="2"/>
        <v>0</v>
      </c>
      <c r="F32" s="11"/>
      <c r="G32" s="9"/>
      <c r="H32" s="10">
        <f t="shared" si="3"/>
        <v>0</v>
      </c>
      <c r="I32" s="2"/>
      <c r="J32" s="16"/>
      <c r="K32" s="17"/>
      <c r="L32" s="17"/>
    </row>
    <row r="33" spans="1:13" x14ac:dyDescent="0.25">
      <c r="A33" s="3"/>
      <c r="B33" s="5"/>
      <c r="C33" s="3"/>
      <c r="D33" s="8"/>
      <c r="E33" s="8">
        <f t="shared" si="2"/>
        <v>0</v>
      </c>
      <c r="F33" s="11"/>
      <c r="G33" s="9"/>
      <c r="H33" s="10">
        <f t="shared" si="3"/>
        <v>0</v>
      </c>
      <c r="I33" s="2"/>
      <c r="J33" s="16"/>
      <c r="K33" s="17"/>
      <c r="L33" s="17"/>
    </row>
    <row r="34" spans="1:13" x14ac:dyDescent="0.25">
      <c r="A34" s="3"/>
      <c r="B34" s="5"/>
      <c r="C34" s="3"/>
      <c r="D34" s="8"/>
      <c r="E34" s="8">
        <f t="shared" si="2"/>
        <v>0</v>
      </c>
      <c r="F34" s="11"/>
      <c r="G34" s="9"/>
      <c r="H34" s="10">
        <f t="shared" si="3"/>
        <v>0</v>
      </c>
      <c r="I34" s="2"/>
      <c r="J34" s="16"/>
      <c r="K34" s="17"/>
      <c r="L34" s="17"/>
    </row>
    <row r="35" spans="1:13" x14ac:dyDescent="0.25">
      <c r="A35" s="3"/>
      <c r="B35" s="5"/>
      <c r="C35" s="3"/>
      <c r="D35" s="8"/>
      <c r="E35" s="8">
        <f t="shared" si="2"/>
        <v>0</v>
      </c>
      <c r="F35" s="11"/>
      <c r="G35" s="9"/>
      <c r="H35" s="10">
        <f t="shared" si="3"/>
        <v>0</v>
      </c>
      <c r="I35" s="2"/>
      <c r="J35" s="16"/>
      <c r="K35" s="17"/>
      <c r="L35" s="17"/>
    </row>
    <row r="36" spans="1:13" x14ac:dyDescent="0.25">
      <c r="A36" s="23"/>
      <c r="B36" s="23"/>
      <c r="C36" s="23"/>
      <c r="D36" s="26" t="s">
        <v>43</v>
      </c>
      <c r="E36" s="30">
        <f>SUM(E24:E35)</f>
        <v>0</v>
      </c>
      <c r="F36" s="24"/>
      <c r="G36" s="29" t="s">
        <v>43</v>
      </c>
      <c r="H36" s="27">
        <f>SUM(H24:H35)</f>
        <v>642.6</v>
      </c>
      <c r="I36" s="23"/>
      <c r="J36" s="25"/>
      <c r="K36" s="25"/>
      <c r="L36" s="25"/>
    </row>
    <row r="37" spans="1:13" x14ac:dyDescent="0.25">
      <c r="A37" s="2"/>
      <c r="B37" s="2"/>
      <c r="C37" s="2"/>
      <c r="D37" s="20"/>
      <c r="E37" s="20"/>
      <c r="F37" s="11"/>
      <c r="G37" s="21"/>
      <c r="H37" s="21"/>
      <c r="I37" s="2"/>
      <c r="J37" s="22"/>
      <c r="K37" s="22"/>
      <c r="L37" s="22"/>
    </row>
    <row r="38" spans="1:13" x14ac:dyDescent="0.25">
      <c r="A38" s="2"/>
      <c r="B38" s="2"/>
      <c r="C38" s="2"/>
      <c r="D38" s="20"/>
      <c r="E38" s="20"/>
      <c r="F38" s="11"/>
      <c r="G38" s="21"/>
      <c r="H38" s="21"/>
      <c r="I38" s="2"/>
      <c r="J38" s="22"/>
      <c r="K38" s="22"/>
      <c r="L38" s="22"/>
    </row>
    <row r="39" spans="1:13" ht="13" x14ac:dyDescent="0.3">
      <c r="A39" s="40" t="s">
        <v>57</v>
      </c>
      <c r="B39" s="40"/>
      <c r="C39" s="40"/>
      <c r="D39" s="41"/>
      <c r="E39" s="41"/>
      <c r="F39" s="42"/>
      <c r="G39" s="43"/>
      <c r="H39" s="43"/>
      <c r="I39" s="40"/>
      <c r="J39" s="51"/>
      <c r="K39" s="51"/>
      <c r="L39" s="51"/>
    </row>
    <row r="40" spans="1:13" ht="13" x14ac:dyDescent="0.3">
      <c r="A40" s="7" t="s">
        <v>1</v>
      </c>
      <c r="B40" s="7" t="s">
        <v>2</v>
      </c>
      <c r="C40" s="7" t="s">
        <v>3</v>
      </c>
      <c r="D40" s="7" t="s">
        <v>4</v>
      </c>
      <c r="E40" s="7" t="s">
        <v>5</v>
      </c>
      <c r="F40" s="7" t="s">
        <v>6</v>
      </c>
      <c r="G40" s="7" t="s">
        <v>7</v>
      </c>
      <c r="H40" s="7" t="s">
        <v>8</v>
      </c>
      <c r="I40" s="7" t="s">
        <v>9</v>
      </c>
      <c r="J40" s="14" t="s">
        <v>10</v>
      </c>
      <c r="K40" s="14" t="s">
        <v>11</v>
      </c>
      <c r="L40" s="14" t="s">
        <v>12</v>
      </c>
    </row>
    <row r="41" spans="1:13" x14ac:dyDescent="0.25">
      <c r="A41" s="3" t="s">
        <v>58</v>
      </c>
      <c r="B41" s="5"/>
      <c r="C41" s="3"/>
      <c r="D41" s="8"/>
      <c r="E41" s="8">
        <f t="shared" ref="E41:E65" si="4">$F41*$D41</f>
        <v>0</v>
      </c>
      <c r="F41" s="11">
        <v>1</v>
      </c>
      <c r="G41" s="9">
        <v>1689</v>
      </c>
      <c r="H41" s="10">
        <f t="shared" ref="H41:H65" si="5">$F41*$G41</f>
        <v>1689</v>
      </c>
      <c r="I41" s="38" t="s">
        <v>142</v>
      </c>
      <c r="J41" s="16" t="s">
        <v>30</v>
      </c>
      <c r="K41" s="17"/>
      <c r="L41" s="17" t="s">
        <v>18</v>
      </c>
    </row>
    <row r="42" spans="1:13" x14ac:dyDescent="0.25">
      <c r="A42" s="3" t="s">
        <v>59</v>
      </c>
      <c r="B42" s="5"/>
      <c r="C42" s="3"/>
      <c r="D42" s="8"/>
      <c r="E42" s="8">
        <f t="shared" si="4"/>
        <v>0</v>
      </c>
      <c r="F42" s="11">
        <v>1</v>
      </c>
      <c r="G42" s="9">
        <v>269.10000000000002</v>
      </c>
      <c r="H42" s="10">
        <f t="shared" si="5"/>
        <v>269.10000000000002</v>
      </c>
      <c r="I42" s="2" t="s">
        <v>60</v>
      </c>
      <c r="J42" s="16" t="s">
        <v>30</v>
      </c>
      <c r="K42" s="17"/>
      <c r="L42" s="17" t="s">
        <v>18</v>
      </c>
    </row>
    <row r="43" spans="1:13" x14ac:dyDescent="0.25">
      <c r="A43" s="3" t="s">
        <v>61</v>
      </c>
      <c r="B43" s="5"/>
      <c r="C43" s="3"/>
      <c r="D43" s="8"/>
      <c r="E43" s="8">
        <f t="shared" si="4"/>
        <v>0</v>
      </c>
      <c r="F43" s="11">
        <v>1</v>
      </c>
      <c r="G43" s="9">
        <v>19.47</v>
      </c>
      <c r="H43" s="10">
        <f t="shared" si="5"/>
        <v>19.47</v>
      </c>
      <c r="I43" s="2" t="s">
        <v>62</v>
      </c>
      <c r="J43" s="16" t="s">
        <v>30</v>
      </c>
      <c r="K43" s="17"/>
      <c r="L43" s="17" t="s">
        <v>18</v>
      </c>
    </row>
    <row r="44" spans="1:13" x14ac:dyDescent="0.25">
      <c r="A44" s="3" t="s">
        <v>63</v>
      </c>
      <c r="B44" s="5"/>
      <c r="C44" s="3"/>
      <c r="D44" s="8"/>
      <c r="E44" s="8">
        <f t="shared" si="4"/>
        <v>0</v>
      </c>
      <c r="F44" s="11">
        <v>1</v>
      </c>
      <c r="G44" s="9">
        <v>49.9</v>
      </c>
      <c r="H44" s="10">
        <f t="shared" si="5"/>
        <v>49.9</v>
      </c>
      <c r="I44" s="2" t="s">
        <v>64</v>
      </c>
      <c r="J44" s="16" t="s">
        <v>30</v>
      </c>
      <c r="K44" s="17"/>
      <c r="L44" s="17" t="s">
        <v>18</v>
      </c>
    </row>
    <row r="45" spans="1:13" x14ac:dyDescent="0.25">
      <c r="A45" s="3" t="s">
        <v>65</v>
      </c>
      <c r="B45" s="5"/>
      <c r="C45" s="3"/>
      <c r="D45" s="8"/>
      <c r="E45" s="8">
        <f t="shared" si="4"/>
        <v>0</v>
      </c>
      <c r="F45" s="11">
        <v>3</v>
      </c>
      <c r="G45" s="9">
        <v>16.7</v>
      </c>
      <c r="H45" s="10">
        <f t="shared" si="5"/>
        <v>50.099999999999994</v>
      </c>
      <c r="I45" s="2" t="s">
        <v>66</v>
      </c>
      <c r="J45" s="16" t="s">
        <v>30</v>
      </c>
      <c r="K45" s="17"/>
      <c r="L45" s="17" t="s">
        <v>18</v>
      </c>
      <c r="M45" t="s">
        <v>67</v>
      </c>
    </row>
    <row r="46" spans="1:13" x14ac:dyDescent="0.25">
      <c r="A46" s="3" t="s">
        <v>68</v>
      </c>
      <c r="B46" s="5"/>
      <c r="C46" s="3"/>
      <c r="D46" s="8"/>
      <c r="E46" s="8">
        <f t="shared" si="4"/>
        <v>0</v>
      </c>
      <c r="F46" s="11">
        <v>3</v>
      </c>
      <c r="G46" s="9">
        <v>269</v>
      </c>
      <c r="H46" s="10">
        <f t="shared" si="5"/>
        <v>807</v>
      </c>
      <c r="I46" s="2" t="s">
        <v>69</v>
      </c>
      <c r="J46" s="16" t="s">
        <v>30</v>
      </c>
      <c r="K46" s="17"/>
      <c r="L46" s="17" t="s">
        <v>18</v>
      </c>
    </row>
    <row r="47" spans="1:13" x14ac:dyDescent="0.25">
      <c r="A47" s="3" t="s">
        <v>70</v>
      </c>
      <c r="B47" s="5"/>
      <c r="C47" s="3"/>
      <c r="D47" s="8"/>
      <c r="E47" s="8">
        <f t="shared" si="4"/>
        <v>0</v>
      </c>
      <c r="F47" s="11">
        <v>3</v>
      </c>
      <c r="G47" s="9">
        <v>22.59</v>
      </c>
      <c r="H47" s="10">
        <f t="shared" si="5"/>
        <v>67.77</v>
      </c>
      <c r="I47" s="2" t="s">
        <v>71</v>
      </c>
      <c r="J47" s="16" t="s">
        <v>30</v>
      </c>
      <c r="K47" s="17"/>
      <c r="L47" s="17" t="s">
        <v>18</v>
      </c>
    </row>
    <row r="48" spans="1:13" x14ac:dyDescent="0.25">
      <c r="A48" s="3" t="s">
        <v>72</v>
      </c>
      <c r="B48" s="5"/>
      <c r="C48" s="3"/>
      <c r="D48" s="8"/>
      <c r="E48" s="8">
        <f t="shared" si="4"/>
        <v>0</v>
      </c>
      <c r="F48" s="11">
        <v>1</v>
      </c>
      <c r="G48" s="9">
        <v>229</v>
      </c>
      <c r="H48" s="10">
        <f t="shared" si="5"/>
        <v>229</v>
      </c>
      <c r="I48" s="2" t="s">
        <v>73</v>
      </c>
      <c r="J48" s="16" t="s">
        <v>30</v>
      </c>
      <c r="K48" s="17"/>
      <c r="L48" s="17" t="s">
        <v>18</v>
      </c>
    </row>
    <row r="49" spans="1:12" x14ac:dyDescent="0.25">
      <c r="A49" s="3" t="s">
        <v>74</v>
      </c>
      <c r="B49" s="5"/>
      <c r="C49" s="3"/>
      <c r="D49" s="8"/>
      <c r="E49" s="8">
        <f t="shared" si="4"/>
        <v>0</v>
      </c>
      <c r="F49" s="11">
        <v>1</v>
      </c>
      <c r="G49" s="9">
        <v>18.399999999999999</v>
      </c>
      <c r="H49" s="10">
        <f t="shared" si="5"/>
        <v>18.399999999999999</v>
      </c>
      <c r="I49" s="38" t="s">
        <v>144</v>
      </c>
      <c r="J49" s="16" t="s">
        <v>30</v>
      </c>
      <c r="K49" s="17"/>
      <c r="L49" s="17" t="s">
        <v>18</v>
      </c>
    </row>
    <row r="50" spans="1:12" x14ac:dyDescent="0.25">
      <c r="A50" s="3" t="s">
        <v>75</v>
      </c>
      <c r="B50" s="5"/>
      <c r="C50" s="3"/>
      <c r="D50" s="8"/>
      <c r="E50" s="8">
        <f t="shared" si="4"/>
        <v>0</v>
      </c>
      <c r="F50" s="11">
        <v>1</v>
      </c>
      <c r="G50" s="9">
        <v>18.399999999999999</v>
      </c>
      <c r="H50" s="10">
        <f t="shared" si="5"/>
        <v>18.399999999999999</v>
      </c>
      <c r="I50" s="2" t="s">
        <v>76</v>
      </c>
      <c r="J50" s="16" t="s">
        <v>30</v>
      </c>
      <c r="K50" s="17"/>
      <c r="L50" s="17" t="s">
        <v>18</v>
      </c>
    </row>
    <row r="51" spans="1:12" x14ac:dyDescent="0.25">
      <c r="A51" s="3" t="s">
        <v>77</v>
      </c>
      <c r="B51" s="5"/>
      <c r="C51" s="3"/>
      <c r="D51" s="8"/>
      <c r="E51" s="8">
        <f t="shared" si="4"/>
        <v>0</v>
      </c>
      <c r="F51" s="11">
        <v>1</v>
      </c>
      <c r="G51" s="9">
        <v>96.9</v>
      </c>
      <c r="H51" s="10">
        <f t="shared" si="5"/>
        <v>96.9</v>
      </c>
      <c r="I51" s="38" t="s">
        <v>143</v>
      </c>
      <c r="J51" s="16" t="s">
        <v>30</v>
      </c>
      <c r="K51" s="17"/>
      <c r="L51" s="17" t="s">
        <v>18</v>
      </c>
    </row>
    <row r="52" spans="1:12" x14ac:dyDescent="0.25">
      <c r="A52" s="3" t="s">
        <v>78</v>
      </c>
      <c r="B52" s="5"/>
      <c r="C52" s="3"/>
      <c r="D52" s="8"/>
      <c r="E52" s="8">
        <f t="shared" si="4"/>
        <v>0</v>
      </c>
      <c r="F52" s="11">
        <v>2</v>
      </c>
      <c r="G52" s="9">
        <v>75.900000000000006</v>
      </c>
      <c r="H52" s="10">
        <f t="shared" si="5"/>
        <v>151.80000000000001</v>
      </c>
      <c r="I52" s="2" t="s">
        <v>79</v>
      </c>
      <c r="J52" s="16" t="s">
        <v>30</v>
      </c>
      <c r="K52" s="17"/>
      <c r="L52" s="17" t="s">
        <v>18</v>
      </c>
    </row>
    <row r="53" spans="1:12" x14ac:dyDescent="0.25">
      <c r="A53" s="3" t="s">
        <v>80</v>
      </c>
      <c r="B53" s="5"/>
      <c r="C53" s="3"/>
      <c r="D53" s="8"/>
      <c r="E53" s="8">
        <f t="shared" si="4"/>
        <v>0</v>
      </c>
      <c r="F53" s="11">
        <v>1</v>
      </c>
      <c r="G53" s="9">
        <v>49.9</v>
      </c>
      <c r="H53" s="10">
        <f t="shared" si="5"/>
        <v>49.9</v>
      </c>
      <c r="I53" s="2" t="s">
        <v>81</v>
      </c>
      <c r="J53" s="16" t="s">
        <v>30</v>
      </c>
      <c r="K53" s="17"/>
      <c r="L53" s="17" t="s">
        <v>18</v>
      </c>
    </row>
    <row r="54" spans="1:12" x14ac:dyDescent="0.25">
      <c r="A54" s="3" t="s">
        <v>82</v>
      </c>
      <c r="B54" s="5"/>
      <c r="C54" s="3"/>
      <c r="D54" s="8"/>
      <c r="E54" s="8">
        <f t="shared" si="4"/>
        <v>0</v>
      </c>
      <c r="F54" s="11">
        <v>10</v>
      </c>
      <c r="G54" s="9">
        <v>4.2</v>
      </c>
      <c r="H54" s="10">
        <f t="shared" si="5"/>
        <v>42</v>
      </c>
      <c r="I54" s="2" t="s">
        <v>83</v>
      </c>
      <c r="J54" s="16" t="s">
        <v>30</v>
      </c>
      <c r="K54" s="17"/>
      <c r="L54" s="17" t="s">
        <v>18</v>
      </c>
    </row>
    <row r="55" spans="1:12" x14ac:dyDescent="0.25">
      <c r="A55" s="3" t="s">
        <v>84</v>
      </c>
      <c r="B55" s="5" t="s">
        <v>85</v>
      </c>
      <c r="C55" s="3" t="s">
        <v>86</v>
      </c>
      <c r="D55" s="8"/>
      <c r="E55" s="8">
        <f t="shared" si="4"/>
        <v>0</v>
      </c>
      <c r="F55" s="11">
        <v>8</v>
      </c>
      <c r="G55" s="9">
        <v>3.8</v>
      </c>
      <c r="H55" s="10">
        <f t="shared" si="5"/>
        <v>30.4</v>
      </c>
      <c r="I55" s="2" t="s">
        <v>87</v>
      </c>
      <c r="J55" s="16" t="s">
        <v>30</v>
      </c>
      <c r="K55" s="17"/>
      <c r="L55" s="17" t="s">
        <v>18</v>
      </c>
    </row>
    <row r="56" spans="1:12" x14ac:dyDescent="0.25">
      <c r="A56" s="3" t="s">
        <v>88</v>
      </c>
      <c r="B56" s="5"/>
      <c r="C56" s="3"/>
      <c r="D56" s="8"/>
      <c r="E56" s="8">
        <f t="shared" si="4"/>
        <v>0</v>
      </c>
      <c r="F56" s="11">
        <v>4</v>
      </c>
      <c r="G56" s="9">
        <v>19.8</v>
      </c>
      <c r="H56" s="10">
        <f t="shared" si="5"/>
        <v>79.2</v>
      </c>
      <c r="I56" s="2" t="s">
        <v>89</v>
      </c>
      <c r="J56" s="16" t="s">
        <v>30</v>
      </c>
      <c r="K56" s="17"/>
      <c r="L56" s="17" t="s">
        <v>18</v>
      </c>
    </row>
    <row r="57" spans="1:12" x14ac:dyDescent="0.25">
      <c r="A57" s="3" t="s">
        <v>90</v>
      </c>
      <c r="B57" s="5"/>
      <c r="C57" s="3"/>
      <c r="D57" s="8"/>
      <c r="E57" s="8">
        <f t="shared" si="4"/>
        <v>0</v>
      </c>
      <c r="F57" s="11">
        <v>1</v>
      </c>
      <c r="G57" s="9">
        <v>9</v>
      </c>
      <c r="H57" s="10">
        <f t="shared" si="5"/>
        <v>9</v>
      </c>
      <c r="I57" s="2" t="s">
        <v>91</v>
      </c>
      <c r="J57" s="16" t="s">
        <v>30</v>
      </c>
      <c r="K57" s="17"/>
      <c r="L57" s="17" t="s">
        <v>18</v>
      </c>
    </row>
    <row r="58" spans="1:12" x14ac:dyDescent="0.25">
      <c r="A58" s="3" t="s">
        <v>92</v>
      </c>
      <c r="B58" s="5"/>
      <c r="C58" s="3"/>
      <c r="D58" s="8"/>
      <c r="E58" s="8">
        <f t="shared" si="4"/>
        <v>0</v>
      </c>
      <c r="F58" s="11">
        <v>3</v>
      </c>
      <c r="G58" s="9">
        <v>8.9</v>
      </c>
      <c r="H58" s="10">
        <f t="shared" si="5"/>
        <v>26.700000000000003</v>
      </c>
      <c r="I58" s="2" t="s">
        <v>93</v>
      </c>
      <c r="J58" s="16" t="s">
        <v>30</v>
      </c>
      <c r="K58" s="17"/>
      <c r="L58" s="17" t="s">
        <v>18</v>
      </c>
    </row>
    <row r="59" spans="1:12" x14ac:dyDescent="0.25">
      <c r="A59" s="3" t="s">
        <v>94</v>
      </c>
      <c r="B59" s="5"/>
      <c r="C59" s="3"/>
      <c r="D59" s="8"/>
      <c r="E59" s="8">
        <f t="shared" si="4"/>
        <v>0</v>
      </c>
      <c r="F59" s="11">
        <v>1</v>
      </c>
      <c r="G59" s="9">
        <v>9.9</v>
      </c>
      <c r="H59" s="10">
        <f t="shared" si="5"/>
        <v>9.9</v>
      </c>
      <c r="I59" s="2" t="s">
        <v>95</v>
      </c>
      <c r="J59" s="16" t="s">
        <v>30</v>
      </c>
      <c r="K59" s="17"/>
      <c r="L59" s="17" t="s">
        <v>18</v>
      </c>
    </row>
    <row r="60" spans="1:12" x14ac:dyDescent="0.25">
      <c r="A60" s="3" t="s">
        <v>96</v>
      </c>
      <c r="B60" s="5"/>
      <c r="C60" s="3"/>
      <c r="D60" s="8"/>
      <c r="E60" s="8">
        <f t="shared" si="4"/>
        <v>0</v>
      </c>
      <c r="F60" s="11">
        <v>1</v>
      </c>
      <c r="G60" s="9">
        <v>49</v>
      </c>
      <c r="H60" s="10">
        <f t="shared" si="5"/>
        <v>49</v>
      </c>
      <c r="I60" s="2" t="s">
        <v>97</v>
      </c>
      <c r="J60" s="16" t="s">
        <v>30</v>
      </c>
      <c r="K60" s="17"/>
      <c r="L60" s="17" t="s">
        <v>18</v>
      </c>
    </row>
    <row r="61" spans="1:12" x14ac:dyDescent="0.25">
      <c r="A61" s="3" t="s">
        <v>98</v>
      </c>
      <c r="B61" s="5"/>
      <c r="C61" s="3"/>
      <c r="D61" s="8"/>
      <c r="E61" s="8">
        <f t="shared" si="4"/>
        <v>0</v>
      </c>
      <c r="F61" s="11">
        <v>1</v>
      </c>
      <c r="G61" s="9">
        <v>6.2</v>
      </c>
      <c r="H61" s="10">
        <f t="shared" si="5"/>
        <v>6.2</v>
      </c>
      <c r="I61" s="2" t="s">
        <v>99</v>
      </c>
      <c r="J61" s="16" t="s">
        <v>30</v>
      </c>
      <c r="K61" s="17"/>
      <c r="L61" s="17" t="s">
        <v>18</v>
      </c>
    </row>
    <row r="62" spans="1:12" x14ac:dyDescent="0.25">
      <c r="A62" s="3" t="s">
        <v>100</v>
      </c>
      <c r="B62" s="5"/>
      <c r="C62" s="3"/>
      <c r="D62" s="8"/>
      <c r="E62" s="8">
        <f t="shared" si="4"/>
        <v>0</v>
      </c>
      <c r="F62" s="11">
        <v>1</v>
      </c>
      <c r="G62" s="9">
        <v>55</v>
      </c>
      <c r="H62" s="10">
        <f t="shared" si="5"/>
        <v>55</v>
      </c>
      <c r="I62" s="2" t="s">
        <v>101</v>
      </c>
      <c r="J62" s="16" t="s">
        <v>30</v>
      </c>
      <c r="K62" s="17"/>
      <c r="L62" s="17" t="s">
        <v>18</v>
      </c>
    </row>
    <row r="63" spans="1:12" x14ac:dyDescent="0.25">
      <c r="A63" s="3" t="s">
        <v>102</v>
      </c>
      <c r="B63" s="5"/>
      <c r="C63" s="3"/>
      <c r="D63" s="8"/>
      <c r="E63" s="8">
        <f t="shared" si="4"/>
        <v>0</v>
      </c>
      <c r="F63" s="11">
        <v>4</v>
      </c>
      <c r="G63" s="9">
        <v>3</v>
      </c>
      <c r="H63" s="10">
        <f t="shared" si="5"/>
        <v>12</v>
      </c>
      <c r="I63" s="2" t="s">
        <v>103</v>
      </c>
      <c r="J63" s="16" t="s">
        <v>30</v>
      </c>
      <c r="K63" s="17"/>
      <c r="L63" s="17" t="s">
        <v>18</v>
      </c>
    </row>
    <row r="64" spans="1:12" x14ac:dyDescent="0.25">
      <c r="A64" s="3" t="s">
        <v>104</v>
      </c>
      <c r="B64" s="5"/>
      <c r="C64" s="3"/>
      <c r="D64" s="8"/>
      <c r="E64" s="8">
        <f t="shared" si="4"/>
        <v>0</v>
      </c>
      <c r="F64" s="11">
        <v>1</v>
      </c>
      <c r="G64" s="9">
        <v>179</v>
      </c>
      <c r="H64" s="10">
        <f t="shared" si="5"/>
        <v>179</v>
      </c>
      <c r="I64" s="2" t="s">
        <v>105</v>
      </c>
      <c r="J64" s="16" t="s">
        <v>30</v>
      </c>
      <c r="K64" s="17"/>
      <c r="L64" s="17" t="s">
        <v>18</v>
      </c>
    </row>
    <row r="65" spans="1:12" x14ac:dyDescent="0.25">
      <c r="A65" s="3" t="s">
        <v>106</v>
      </c>
      <c r="B65" s="5"/>
      <c r="C65" s="3"/>
      <c r="D65" s="8"/>
      <c r="E65" s="8">
        <f t="shared" si="4"/>
        <v>0</v>
      </c>
      <c r="F65" s="11">
        <v>1</v>
      </c>
      <c r="G65" s="9">
        <v>39.9</v>
      </c>
      <c r="H65" s="10">
        <f t="shared" si="5"/>
        <v>39.9</v>
      </c>
      <c r="I65" s="2" t="s">
        <v>107</v>
      </c>
      <c r="J65" s="16" t="s">
        <v>30</v>
      </c>
      <c r="K65" s="17"/>
      <c r="L65" s="17" t="s">
        <v>18</v>
      </c>
    </row>
    <row r="66" spans="1:12" x14ac:dyDescent="0.25">
      <c r="A66" s="3"/>
      <c r="B66" s="5"/>
      <c r="C66" s="3"/>
      <c r="D66" s="8"/>
      <c r="E66" s="8"/>
      <c r="F66" s="11"/>
      <c r="G66" s="9"/>
      <c r="H66" s="10"/>
      <c r="I66" s="2"/>
      <c r="J66" s="16"/>
      <c r="K66" s="17"/>
      <c r="L66" s="17"/>
    </row>
    <row r="67" spans="1:12" x14ac:dyDescent="0.25">
      <c r="A67" s="3"/>
      <c r="B67" s="5"/>
      <c r="C67" s="3"/>
      <c r="D67" s="8"/>
      <c r="E67" s="8"/>
      <c r="F67" s="11"/>
      <c r="G67" s="9"/>
      <c r="H67" s="10"/>
      <c r="I67" s="2"/>
      <c r="J67" s="16"/>
      <c r="K67" s="17"/>
      <c r="L67" s="17"/>
    </row>
    <row r="68" spans="1:12" x14ac:dyDescent="0.25">
      <c r="A68" s="3"/>
      <c r="B68" s="5"/>
      <c r="C68" s="3"/>
      <c r="D68" s="8"/>
      <c r="E68" s="8"/>
      <c r="F68" s="11"/>
      <c r="G68" s="9"/>
      <c r="H68" s="10"/>
      <c r="I68" s="2"/>
      <c r="J68" s="16"/>
      <c r="K68" s="17"/>
      <c r="L68" s="17"/>
    </row>
    <row r="69" spans="1:12" x14ac:dyDescent="0.25">
      <c r="A69" s="4"/>
      <c r="B69" s="6"/>
      <c r="C69" s="4"/>
      <c r="D69" s="8"/>
      <c r="E69" s="8">
        <f>$F69*$D69</f>
        <v>0</v>
      </c>
      <c r="F69" s="12"/>
      <c r="G69" s="9"/>
      <c r="H69" s="10">
        <f>$F69*$G69</f>
        <v>0</v>
      </c>
      <c r="I69" s="15"/>
      <c r="J69" s="18"/>
      <c r="K69" s="19"/>
      <c r="L69" s="19"/>
    </row>
    <row r="70" spans="1:12" x14ac:dyDescent="0.25">
      <c r="A70" s="2"/>
      <c r="B70" s="2"/>
      <c r="C70" s="2"/>
      <c r="D70" s="28" t="s">
        <v>43</v>
      </c>
      <c r="E70" s="30">
        <f>SUM(E41:E69)</f>
        <v>0</v>
      </c>
      <c r="F70" s="2"/>
      <c r="G70" s="28" t="s">
        <v>43</v>
      </c>
      <c r="H70" s="29">
        <f>SUM(H41:H69)</f>
        <v>4055.0400000000004</v>
      </c>
      <c r="I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2" ht="13" x14ac:dyDescent="0.3">
      <c r="A72" s="40" t="s">
        <v>108</v>
      </c>
      <c r="B72" s="47"/>
      <c r="C72" s="47"/>
      <c r="D72" s="48"/>
      <c r="E72" s="48"/>
      <c r="F72" s="49"/>
      <c r="G72" s="50"/>
      <c r="H72" s="50"/>
      <c r="I72" s="47"/>
      <c r="J72" s="51"/>
      <c r="K72" s="51"/>
      <c r="L72" s="51"/>
    </row>
    <row r="73" spans="1:12" ht="13" x14ac:dyDescent="0.3">
      <c r="A73" s="7" t="s">
        <v>1</v>
      </c>
      <c r="B73" s="7" t="s">
        <v>2</v>
      </c>
      <c r="C73" s="7" t="s">
        <v>3</v>
      </c>
      <c r="D73" s="7" t="s">
        <v>4</v>
      </c>
      <c r="E73" s="7" t="s">
        <v>5</v>
      </c>
      <c r="F73" s="7" t="s">
        <v>6</v>
      </c>
      <c r="G73" s="7" t="s">
        <v>7</v>
      </c>
      <c r="H73" s="7" t="s">
        <v>8</v>
      </c>
      <c r="I73" s="7" t="s">
        <v>9</v>
      </c>
      <c r="J73" s="14" t="s">
        <v>10</v>
      </c>
      <c r="K73" s="14" t="s">
        <v>11</v>
      </c>
      <c r="L73" s="14" t="s">
        <v>12</v>
      </c>
    </row>
    <row r="74" spans="1:12" x14ac:dyDescent="0.25">
      <c r="A74" s="3" t="s">
        <v>109</v>
      </c>
      <c r="B74" s="5" t="s">
        <v>110</v>
      </c>
      <c r="C74" s="3" t="s">
        <v>111</v>
      </c>
      <c r="D74" s="8"/>
      <c r="E74" s="8">
        <f t="shared" ref="E74:E90" si="6">$F74*$D74</f>
        <v>0</v>
      </c>
      <c r="F74" s="11">
        <v>12</v>
      </c>
      <c r="G74" s="9">
        <v>7.19</v>
      </c>
      <c r="H74" s="10">
        <f t="shared" ref="H74:H90" si="7">$F74*$G74</f>
        <v>86.28</v>
      </c>
      <c r="I74" s="2" t="s">
        <v>112</v>
      </c>
      <c r="J74" s="16" t="s">
        <v>30</v>
      </c>
      <c r="K74" s="17" t="s">
        <v>30</v>
      </c>
      <c r="L74" s="17" t="s">
        <v>18</v>
      </c>
    </row>
    <row r="75" spans="1:12" x14ac:dyDescent="0.25">
      <c r="A75" s="3" t="s">
        <v>113</v>
      </c>
      <c r="B75" s="5"/>
      <c r="C75" s="3"/>
      <c r="D75" s="8"/>
      <c r="E75" s="8">
        <f t="shared" si="6"/>
        <v>0</v>
      </c>
      <c r="F75" s="11">
        <v>3</v>
      </c>
      <c r="G75" s="9">
        <v>4.99</v>
      </c>
      <c r="H75" s="10">
        <f t="shared" si="7"/>
        <v>14.97</v>
      </c>
      <c r="I75" s="2" t="s">
        <v>114</v>
      </c>
      <c r="J75" s="16" t="s">
        <v>30</v>
      </c>
      <c r="K75" s="17" t="s">
        <v>30</v>
      </c>
      <c r="L75" s="17" t="s">
        <v>18</v>
      </c>
    </row>
    <row r="76" spans="1:12" x14ac:dyDescent="0.25">
      <c r="A76" s="3" t="s">
        <v>115</v>
      </c>
      <c r="B76" s="5"/>
      <c r="C76" s="3"/>
      <c r="D76" s="8"/>
      <c r="E76" s="8">
        <f t="shared" si="6"/>
        <v>0</v>
      </c>
      <c r="F76" s="11">
        <v>1</v>
      </c>
      <c r="G76" s="9">
        <v>29.99</v>
      </c>
      <c r="H76" s="10">
        <f t="shared" si="7"/>
        <v>29.99</v>
      </c>
      <c r="I76" s="2" t="s">
        <v>116</v>
      </c>
      <c r="J76" s="16" t="s">
        <v>30</v>
      </c>
      <c r="K76" s="17" t="s">
        <v>30</v>
      </c>
      <c r="L76" s="17" t="s">
        <v>18</v>
      </c>
    </row>
    <row r="77" spans="1:12" x14ac:dyDescent="0.25">
      <c r="A77" s="3" t="s">
        <v>117</v>
      </c>
      <c r="B77" s="5"/>
      <c r="C77" s="3"/>
      <c r="D77" s="8"/>
      <c r="E77" s="8">
        <f t="shared" si="6"/>
        <v>0</v>
      </c>
      <c r="F77" s="11">
        <v>1</v>
      </c>
      <c r="G77" s="9">
        <v>52.49</v>
      </c>
      <c r="H77" s="10">
        <f t="shared" si="7"/>
        <v>52.49</v>
      </c>
      <c r="I77" s="2" t="s">
        <v>118</v>
      </c>
      <c r="J77" s="16" t="s">
        <v>30</v>
      </c>
      <c r="K77" s="17" t="s">
        <v>30</v>
      </c>
      <c r="L77" s="17" t="s">
        <v>18</v>
      </c>
    </row>
    <row r="78" spans="1:12" x14ac:dyDescent="0.25">
      <c r="A78" s="3" t="s">
        <v>119</v>
      </c>
      <c r="B78" s="5"/>
      <c r="C78" s="3"/>
      <c r="D78" s="8"/>
      <c r="E78" s="8">
        <f t="shared" si="6"/>
        <v>0</v>
      </c>
      <c r="F78" s="11">
        <v>10</v>
      </c>
      <c r="G78" s="9">
        <v>3.99</v>
      </c>
      <c r="H78" s="10">
        <f t="shared" si="7"/>
        <v>39.900000000000006</v>
      </c>
      <c r="I78" s="2" t="s">
        <v>120</v>
      </c>
      <c r="J78" s="16" t="s">
        <v>30</v>
      </c>
      <c r="K78" s="17" t="s">
        <v>30</v>
      </c>
      <c r="L78" s="17" t="s">
        <v>18</v>
      </c>
    </row>
    <row r="79" spans="1:12" x14ac:dyDescent="0.25">
      <c r="A79" s="3" t="s">
        <v>121</v>
      </c>
      <c r="B79" s="5"/>
      <c r="C79" s="3"/>
      <c r="D79" s="8"/>
      <c r="E79" s="8">
        <f t="shared" si="6"/>
        <v>0</v>
      </c>
      <c r="F79" s="11">
        <v>3</v>
      </c>
      <c r="G79" s="9">
        <v>11.99</v>
      </c>
      <c r="H79" s="10">
        <f t="shared" si="7"/>
        <v>35.97</v>
      </c>
      <c r="I79" s="2" t="s">
        <v>122</v>
      </c>
      <c r="J79" s="16" t="s">
        <v>30</v>
      </c>
      <c r="K79" s="17" t="s">
        <v>30</v>
      </c>
      <c r="L79" s="17" t="s">
        <v>18</v>
      </c>
    </row>
    <row r="80" spans="1:12" x14ac:dyDescent="0.25">
      <c r="A80" s="3" t="s">
        <v>123</v>
      </c>
      <c r="B80" s="5"/>
      <c r="C80" s="3"/>
      <c r="D80" s="8"/>
      <c r="E80" s="8">
        <f t="shared" si="6"/>
        <v>0</v>
      </c>
      <c r="F80" s="11">
        <v>1</v>
      </c>
      <c r="G80" s="9">
        <v>29.99</v>
      </c>
      <c r="H80" s="10">
        <f t="shared" si="7"/>
        <v>29.99</v>
      </c>
      <c r="I80" s="37" t="s">
        <v>124</v>
      </c>
      <c r="J80" s="16" t="s">
        <v>30</v>
      </c>
      <c r="K80" s="17" t="s">
        <v>30</v>
      </c>
      <c r="L80" s="17" t="s">
        <v>18</v>
      </c>
    </row>
    <row r="81" spans="1:12" x14ac:dyDescent="0.25">
      <c r="A81" s="3" t="s">
        <v>125</v>
      </c>
      <c r="B81" s="5"/>
      <c r="C81" s="3"/>
      <c r="D81" s="8"/>
      <c r="E81" s="8">
        <f t="shared" si="6"/>
        <v>0</v>
      </c>
      <c r="F81" s="11">
        <v>2</v>
      </c>
      <c r="G81" s="9">
        <v>12.9</v>
      </c>
      <c r="H81" s="10">
        <f t="shared" si="7"/>
        <v>25.8</v>
      </c>
      <c r="I81" s="2" t="s">
        <v>126</v>
      </c>
      <c r="J81" s="16" t="s">
        <v>30</v>
      </c>
      <c r="K81" s="17" t="s">
        <v>30</v>
      </c>
      <c r="L81" s="17" t="s">
        <v>18</v>
      </c>
    </row>
    <row r="82" spans="1:12" x14ac:dyDescent="0.25">
      <c r="A82" s="3" t="s">
        <v>127</v>
      </c>
      <c r="B82" s="5"/>
      <c r="C82" s="3"/>
      <c r="D82" s="8"/>
      <c r="E82" s="8">
        <f t="shared" si="6"/>
        <v>0</v>
      </c>
      <c r="F82" s="11">
        <v>2</v>
      </c>
      <c r="G82" s="9">
        <v>19.989999999999998</v>
      </c>
      <c r="H82" s="10">
        <f t="shared" si="7"/>
        <v>39.979999999999997</v>
      </c>
      <c r="I82" s="2" t="s">
        <v>128</v>
      </c>
      <c r="J82" s="16" t="s">
        <v>30</v>
      </c>
      <c r="K82" s="17" t="s">
        <v>30</v>
      </c>
      <c r="L82" s="17" t="s">
        <v>18</v>
      </c>
    </row>
    <row r="83" spans="1:12" x14ac:dyDescent="0.25">
      <c r="A83" s="3" t="s">
        <v>129</v>
      </c>
      <c r="B83" s="5"/>
      <c r="C83" s="3"/>
      <c r="D83" s="8"/>
      <c r="E83" s="8">
        <f t="shared" si="6"/>
        <v>0</v>
      </c>
      <c r="F83" s="11">
        <v>1</v>
      </c>
      <c r="G83" s="9">
        <v>5.99</v>
      </c>
      <c r="H83" s="10">
        <f t="shared" si="7"/>
        <v>5.99</v>
      </c>
      <c r="I83" s="2" t="s">
        <v>130</v>
      </c>
      <c r="J83" s="16" t="s">
        <v>30</v>
      </c>
      <c r="K83" s="17" t="s">
        <v>30</v>
      </c>
      <c r="L83" s="17" t="s">
        <v>18</v>
      </c>
    </row>
    <row r="84" spans="1:12" x14ac:dyDescent="0.25">
      <c r="A84" s="3" t="s">
        <v>131</v>
      </c>
      <c r="B84" s="5"/>
      <c r="C84" s="3"/>
      <c r="D84" s="8"/>
      <c r="E84" s="8">
        <f t="shared" si="6"/>
        <v>0</v>
      </c>
      <c r="F84" s="11">
        <v>1</v>
      </c>
      <c r="G84" s="9">
        <v>6.29</v>
      </c>
      <c r="H84" s="10">
        <f t="shared" si="7"/>
        <v>6.29</v>
      </c>
      <c r="I84" s="2" t="s">
        <v>132</v>
      </c>
      <c r="J84" s="16" t="s">
        <v>30</v>
      </c>
      <c r="K84" s="17" t="s">
        <v>30</v>
      </c>
      <c r="L84" s="17" t="s">
        <v>18</v>
      </c>
    </row>
    <row r="85" spans="1:12" x14ac:dyDescent="0.25">
      <c r="A85" s="3" t="s">
        <v>133</v>
      </c>
      <c r="B85" s="5"/>
      <c r="C85" s="3"/>
      <c r="D85" s="8"/>
      <c r="E85" s="8">
        <f t="shared" si="6"/>
        <v>0</v>
      </c>
      <c r="F85" s="11">
        <v>1</v>
      </c>
      <c r="G85" s="9">
        <v>19.79</v>
      </c>
      <c r="H85" s="10">
        <f t="shared" si="7"/>
        <v>19.79</v>
      </c>
      <c r="I85" s="2" t="s">
        <v>134</v>
      </c>
      <c r="J85" s="16" t="s">
        <v>30</v>
      </c>
      <c r="K85" s="17" t="s">
        <v>30</v>
      </c>
      <c r="L85" s="17" t="s">
        <v>18</v>
      </c>
    </row>
    <row r="86" spans="1:12" x14ac:dyDescent="0.25">
      <c r="A86" s="3" t="s">
        <v>135</v>
      </c>
      <c r="B86" s="5"/>
      <c r="C86" s="3"/>
      <c r="D86" s="8"/>
      <c r="E86" s="8">
        <f t="shared" si="6"/>
        <v>0</v>
      </c>
      <c r="F86" s="11">
        <v>2</v>
      </c>
      <c r="G86" s="9">
        <v>46.99</v>
      </c>
      <c r="H86" s="10">
        <f t="shared" si="7"/>
        <v>93.98</v>
      </c>
      <c r="I86" s="2" t="s">
        <v>136</v>
      </c>
      <c r="J86" s="16" t="s">
        <v>30</v>
      </c>
      <c r="K86" s="17" t="s">
        <v>30</v>
      </c>
      <c r="L86" s="17" t="s">
        <v>18</v>
      </c>
    </row>
    <row r="87" spans="1:12" x14ac:dyDescent="0.25">
      <c r="A87" s="3" t="s">
        <v>137</v>
      </c>
      <c r="B87" s="5"/>
      <c r="C87" s="3"/>
      <c r="D87" s="8"/>
      <c r="E87" s="8">
        <f t="shared" si="6"/>
        <v>0</v>
      </c>
      <c r="F87" s="11">
        <v>1</v>
      </c>
      <c r="G87" s="9">
        <v>339</v>
      </c>
      <c r="H87" s="10">
        <f t="shared" si="7"/>
        <v>339</v>
      </c>
      <c r="I87" s="38" t="s">
        <v>140</v>
      </c>
      <c r="J87" s="16" t="s">
        <v>30</v>
      </c>
      <c r="K87" s="17" t="s">
        <v>30</v>
      </c>
      <c r="L87" s="17" t="s">
        <v>18</v>
      </c>
    </row>
    <row r="88" spans="1:12" x14ac:dyDescent="0.25">
      <c r="A88" s="3" t="s">
        <v>138</v>
      </c>
      <c r="B88" s="5"/>
      <c r="C88" s="3"/>
      <c r="D88" s="8"/>
      <c r="E88" s="8">
        <f t="shared" si="6"/>
        <v>0</v>
      </c>
      <c r="F88" s="11">
        <v>1</v>
      </c>
      <c r="G88" s="9">
        <v>26.97</v>
      </c>
      <c r="H88" s="10">
        <f t="shared" si="7"/>
        <v>26.97</v>
      </c>
      <c r="I88" s="2" t="s">
        <v>139</v>
      </c>
      <c r="J88" s="16" t="s">
        <v>30</v>
      </c>
      <c r="K88" s="17" t="s">
        <v>30</v>
      </c>
      <c r="L88" s="17" t="s">
        <v>18</v>
      </c>
    </row>
    <row r="89" spans="1:12" x14ac:dyDescent="0.25">
      <c r="A89" s="3"/>
      <c r="B89" s="5"/>
      <c r="C89" s="3"/>
      <c r="D89" s="8"/>
      <c r="E89" s="8">
        <f t="shared" si="6"/>
        <v>0</v>
      </c>
      <c r="F89" s="11"/>
      <c r="G89" s="9"/>
      <c r="H89" s="10">
        <f t="shared" si="7"/>
        <v>0</v>
      </c>
      <c r="I89" s="2"/>
      <c r="J89" s="16" t="s">
        <v>30</v>
      </c>
      <c r="K89" s="17" t="s">
        <v>30</v>
      </c>
      <c r="L89" s="17"/>
    </row>
    <row r="90" spans="1:12" x14ac:dyDescent="0.25">
      <c r="A90" s="3"/>
      <c r="B90" s="5"/>
      <c r="C90" s="3"/>
      <c r="D90" s="8"/>
      <c r="E90" s="8">
        <f t="shared" si="6"/>
        <v>0</v>
      </c>
      <c r="F90" s="11"/>
      <c r="G90" s="9"/>
      <c r="H90" s="10">
        <f t="shared" si="7"/>
        <v>0</v>
      </c>
      <c r="I90" s="2"/>
      <c r="J90" s="16" t="s">
        <v>30</v>
      </c>
      <c r="K90" s="17" t="s">
        <v>30</v>
      </c>
      <c r="L90" s="17"/>
    </row>
    <row r="91" spans="1:12" x14ac:dyDescent="0.25">
      <c r="A91" s="23"/>
      <c r="B91" s="23"/>
      <c r="C91" s="23"/>
      <c r="D91" s="26" t="s">
        <v>43</v>
      </c>
      <c r="E91" s="30">
        <f>SUM(E74:E90)</f>
        <v>0</v>
      </c>
      <c r="F91" s="24"/>
      <c r="G91" s="29" t="s">
        <v>43</v>
      </c>
      <c r="H91" s="27">
        <f>SUM(H74:H90)</f>
        <v>847.3900000000001</v>
      </c>
      <c r="I91" s="23"/>
      <c r="J91" s="25"/>
      <c r="K91" s="25"/>
      <c r="L91" s="25"/>
    </row>
    <row r="92" spans="1:12" ht="13" x14ac:dyDescent="0.3">
      <c r="A92" s="13"/>
    </row>
  </sheetData>
  <mergeCells count="4">
    <mergeCell ref="A1:L1"/>
    <mergeCell ref="A22:L22"/>
    <mergeCell ref="A39:L39"/>
    <mergeCell ref="A72:L72"/>
  </mergeCells>
  <hyperlinks>
    <hyperlink ref="I1" r:id="rId1" display="https://botland.com.pl/silniki-dc-standard-z-przekladnia/17541-silnik-37dx54l-z-przekladnia-50-1-24v-200rpm-pololu-4683-5904422327811.html" xr:uid="{00000000-0004-0000-0000-000000000000}"/>
    <hyperlink ref="I3" r:id="rId2" xr:uid="{00000000-0004-0000-0000-000001000000}"/>
    <hyperlink ref="I4" r:id="rId3" xr:uid="{00000000-0004-0000-0000-000002000000}"/>
    <hyperlink ref="I8" r:id="rId4" xr:uid="{00000000-0004-0000-0000-000003000000}"/>
    <hyperlink ref="I80" r:id="rId5" xr:uid="{00000000-0004-0000-0000-000004000000}"/>
    <hyperlink ref="I87" r:id="rId6" xr:uid="{12D78822-4B78-455C-A448-EE43E9D76BD6}"/>
    <hyperlink ref="I5" r:id="rId7" xr:uid="{73B082B4-A131-4373-99A6-3A70B6901FBA}"/>
    <hyperlink ref="I41" r:id="rId8" xr:uid="{8A17F7F3-2C73-43C6-9CC0-EBC8DCBC43AA}"/>
    <hyperlink ref="I51" r:id="rId9" xr:uid="{99F4BF44-0228-434F-8E88-7D95554D82C5}"/>
    <hyperlink ref="I49" r:id="rId10" xr:uid="{A03D7EF7-002A-4ED1-B8EE-9FC186F36A9E}"/>
    <hyperlink ref="I11" r:id="rId11" xr:uid="{3A6145ED-C122-4B33-93EA-CB27C6DFF157}"/>
    <hyperlink ref="I13" r:id="rId12" xr:uid="{F21F77D5-8854-492C-8051-7FBC5A9291EA}"/>
    <hyperlink ref="I9" r:id="rId13" xr:uid="{B01EDB4A-68F5-47CB-B064-1B4831DD8450}"/>
    <hyperlink ref="I15" r:id="rId14" xr:uid="{7D73DA4A-8CCE-401C-A054-D41CDEB0107C}"/>
  </hyperlinks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6294157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Kosztorys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Nalepa Jan</cp:lastModifiedBy>
  <cp:revision>0</cp:revision>
  <cp:lastPrinted>2025-10-03T16:14:56Z</cp:lastPrinted>
  <dcterms:created xsi:type="dcterms:W3CDTF">2025-08-03T12:39:02Z</dcterms:created>
  <dcterms:modified xsi:type="dcterms:W3CDTF">2026-01-21T12:40:46Z</dcterms:modified>
</cp:coreProperties>
</file>